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365935510N\Documents\Programming\Excel\"/>
    </mc:Choice>
  </mc:AlternateContent>
  <bookViews>
    <workbookView xWindow="0" yWindow="5640" windowWidth="15180" windowHeight="3765" tabRatio="661" activeTab="2"/>
  </bookViews>
  <sheets>
    <sheet name="Pay Table" sheetId="52" r:id="rId1"/>
    <sheet name="How To Use Calc" sheetId="53" r:id="rId2"/>
    <sheet name="Calculator" sheetId="54" r:id="rId3"/>
  </sheets>
  <functionGroups builtInGroupCount="18"/>
  <calcPr calcId="162913"/>
  <extLst>
    <ext xmlns:x14="http://schemas.microsoft.com/office/spreadsheetml/2009/9/main" uri="{8193D73E-4604-4355-AFF4-8A2333D13BE4}">
      <x14:definedNames>
        <x14:definedName name="DAILYRATE">
          <x14:argumentDescriptions count="3">
            <x14:argumentDescription index="0">Enter the individuals pay grade as E-1 or E1</x14:argumentDescription>
            <x14:argumentDescription index="1">Enter time in service as whole number of years</x14:argumentDescription>
            <x14:argumentDescription index="2">Enter Yes or No for if the individual has dependents or not</x14:argumentDescription>
          </x14:argumentDescriptions>
        </x14:definedName>
        <x14:definedName name="DEPLOYEDRATE">
          <x14:argumentDescriptions count="7">
            <x14:argumentDescription index="0">Enter the individuals pay grade as E-1 or E1</x14:argumentDescription>
            <x14:argumentDescription index="1">Enter time in service as whole number of years</x14:argumentDescription>
            <x14:argumentDescription index="2">Enter Yes or No for if the individual has dependents or not</x14:argumentDescription>
            <x14:argumentDescription index="3">Enter Yes or No for if the individual will be collecting Hazardous Duty Pay or not</x14:argumentDescription>
            <x14:argumentDescription index="4">Enter Yes or No for if the individual will be collecting Hostile Fire Pay or not</x14:argumentDescription>
            <x14:argumentDescription index="5">Enter Yes or No for if the individual will be collecting Family Sep Pay or not</x14:argumentDescription>
            <x14:argumentDescription index="6">Enter Yes or No for if the individual will be collecting Per Diem Pay or not</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I18" i="54" l="1"/>
  <c r="D18" i="54"/>
  <c r="H35" i="53"/>
  <c r="H36" i="53"/>
</calcChain>
</file>

<file path=xl/sharedStrings.xml><?xml version="1.0" encoding="utf-8"?>
<sst xmlns="http://schemas.openxmlformats.org/spreadsheetml/2006/main" count="114" uniqueCount="98">
  <si>
    <t>Over 2</t>
  </si>
  <si>
    <t>Over 3</t>
  </si>
  <si>
    <t>Over 4</t>
  </si>
  <si>
    <t>Over 6</t>
  </si>
  <si>
    <t>Over 8</t>
  </si>
  <si>
    <t>Over 10</t>
  </si>
  <si>
    <t>Over 12</t>
  </si>
  <si>
    <t>Over 14</t>
  </si>
  <si>
    <t>Over 16</t>
  </si>
  <si>
    <t>Over 18</t>
  </si>
  <si>
    <t>Over 20</t>
  </si>
  <si>
    <t>Over 22</t>
  </si>
  <si>
    <t>Over 24</t>
  </si>
  <si>
    <t>Over 26</t>
  </si>
  <si>
    <t>Over 30</t>
  </si>
  <si>
    <t>Over 32</t>
  </si>
  <si>
    <t>Over 34</t>
  </si>
  <si>
    <t>Over 36</t>
  </si>
  <si>
    <t>Over 38</t>
  </si>
  <si>
    <t>Over 40</t>
  </si>
  <si>
    <t>O-3E</t>
  </si>
  <si>
    <t>O-2E</t>
  </si>
  <si>
    <t>O-1E</t>
  </si>
  <si>
    <t>W-5</t>
  </si>
  <si>
    <t>W-4</t>
  </si>
  <si>
    <t>W-3</t>
  </si>
  <si>
    <t>W-2</t>
  </si>
  <si>
    <t>W-1</t>
  </si>
  <si>
    <t>E-9</t>
  </si>
  <si>
    <t>E-8</t>
  </si>
  <si>
    <t>E-7</t>
  </si>
  <si>
    <t>E-6</t>
  </si>
  <si>
    <t>E-5</t>
  </si>
  <si>
    <t>E-4</t>
  </si>
  <si>
    <t>E-3</t>
  </si>
  <si>
    <t>E-2</t>
  </si>
  <si>
    <t>BAS</t>
  </si>
  <si>
    <t>O-5</t>
  </si>
  <si>
    <t>O-4</t>
  </si>
  <si>
    <t>O-3</t>
  </si>
  <si>
    <t>O-2</t>
  </si>
  <si>
    <t>O-1</t>
  </si>
  <si>
    <t>O-9</t>
  </si>
  <si>
    <t>O-8</t>
  </si>
  <si>
    <t>O-7</t>
  </si>
  <si>
    <t>O-6</t>
  </si>
  <si>
    <t>O-10</t>
  </si>
  <si>
    <t>BAH
W/O Dep</t>
  </si>
  <si>
    <t>BAH
W/ Dep</t>
  </si>
  <si>
    <t>Pay
Grade</t>
  </si>
  <si>
    <t>2 or less</t>
  </si>
  <si>
    <t>Over28</t>
  </si>
  <si>
    <t>No</t>
  </si>
  <si>
    <t>E-1</t>
  </si>
  <si>
    <t>Yes</t>
  </si>
  <si>
    <t>How to use calculator</t>
  </si>
  <si>
    <t>There are three arguments required to complete the function.</t>
  </si>
  <si>
    <t>Time in Service</t>
  </si>
  <si>
    <t>Dependents (Yes/No)</t>
  </si>
  <si>
    <t>Rank (E-1 to O-10)</t>
  </si>
  <si>
    <t>With a full list of names that includes the three required arguments, enter the function at the end of the row and select the cells with each appropriate argument, IN THE SPECIFIED ORDER.</t>
  </si>
  <si>
    <t xml:space="preserve">Once all three arguments are selected, press enter. </t>
  </si>
  <si>
    <t>If the function worked, the daily rate for that row should appear.</t>
  </si>
  <si>
    <t>Copy/paste the formula all the down the list and it should do the same for every row.</t>
  </si>
  <si>
    <t>You NEED to paste your list of names into this workbook.</t>
  </si>
  <si>
    <t>Examples</t>
  </si>
  <si>
    <t>So, to protect the function and all formulas, the worksheets are protected with "Protect Sheet". There is no password, it is blank.</t>
  </si>
  <si>
    <t>Create a NEW worksheet to paste your names to.</t>
  </si>
  <si>
    <t>Click ENABLE CONTENT</t>
  </si>
  <si>
    <t>This document contains a custom created excel function called DeployedRate.</t>
  </si>
  <si>
    <t>Type "=DeployedRate()" to get started.</t>
  </si>
  <si>
    <t>Select the column to the right to see how DeployedRate works</t>
  </si>
  <si>
    <t>Hostile Fire Pay (Yes/No)</t>
  </si>
  <si>
    <t>Hazardous Duty Pay (Yes/No)</t>
  </si>
  <si>
    <t>Per Diem Pay (Yes/No)</t>
  </si>
  <si>
    <t>Family Sep Pay (Yes/No)</t>
  </si>
  <si>
    <t>Rank</t>
  </si>
  <si>
    <t>TIS</t>
  </si>
  <si>
    <t>Dep</t>
  </si>
  <si>
    <t>HFP</t>
  </si>
  <si>
    <t>HDP</t>
  </si>
  <si>
    <t>Fam Sep</t>
  </si>
  <si>
    <t>Per Diem</t>
  </si>
  <si>
    <t>Per Day</t>
  </si>
  <si>
    <t>2019 Deployment Pay Calculator</t>
  </si>
  <si>
    <t>Time in Service (Years)</t>
  </si>
  <si>
    <t>Pay Grade</t>
  </si>
  <si>
    <t>Hostile Fire Pay (Y/N)</t>
  </si>
  <si>
    <t>Hazardous Duty Pay (Y/N)</t>
  </si>
  <si>
    <t>Family Sep Pay (Y/N)</t>
  </si>
  <si>
    <t>Dependents (Y/N)</t>
  </si>
  <si>
    <t>Per Diem (Y/N)</t>
  </si>
  <si>
    <t>$7.50 per day</t>
  </si>
  <si>
    <t>$3.33 per day</t>
  </si>
  <si>
    <t>$8.33 per day</t>
  </si>
  <si>
    <t>$3.50 per day</t>
  </si>
  <si>
    <t>Per Pay Period</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</si>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</sst>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8" x14ac:knownFonts="1">
    <font>
      <sz val="10"/>
      <name val="Arial"/>
    </font>
    <font>
      <sz val="10"/>
      <name val="Arial"/>
      <family val="2"/>
    </font>
    <font>
      <b/>
      <sz val="10"/>
      <name val="Arial"/>
      <family val="2"/>
    </font>
    <font>
      <b/>
      <sz val="11"/>
      <name val="Arial"/>
      <family val="2"/>
    </font>
    <font>
      <b/>
      <sz val="14"/>
      <name val="Arial"/>
      <family val="2"/>
    </font>
    <font>
      <b/>
      <sz val="10"/>
      <color rgb="FFFF0000"/>
      <name val="Arial"/>
      <family val="2"/>
    </font>
    <font>
      <b/>
      <sz val="20"/>
      <name val="Arial"/>
      <family val="2"/>
    </font>
    <font>
      <b/>
      <sz val="12"/>
      <name val="Arial"/>
      <family val="2"/>
    </font>
  </fonts>
  <fills count="4">
    <fill>
      <patternFill patternType="none"/>
    </fill>
    <fill>
      <patternFill patternType="gray125"/>
    </fill>
    <fill>
      <patternFill patternType="solid">
        <fgColor theme="0"/>
        <bgColor indexed="64"/>
      </patternFill>
    </fill>
    <fill>
      <patternFill patternType="solid">
        <fgColor rgb="FF4747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67">
    <xf numFmtId="0" fontId="0" fillId="0" borderId="0" xfId="0"/>
    <xf numFmtId="0" fontId="1" fillId="0" borderId="0" xfId="0" applyFont="1" applyAlignment="1" applyProtection="1">
      <alignment horizontal="center" vertical="center"/>
    </xf>
    <xf numFmtId="0" fontId="2" fillId="0" borderId="2" xfId="0" applyFont="1" applyBorder="1" applyAlignment="1" applyProtection="1">
      <alignment horizontal="center" vertical="center" wrapText="1"/>
    </xf>
    <xf numFmtId="4" fontId="1" fillId="0" borderId="1" xfId="0" applyNumberFormat="1" applyFont="1" applyBorder="1" applyAlignment="1" applyProtection="1">
      <alignment horizontal="center" vertical="center"/>
    </xf>
    <xf numFmtId="4" fontId="1" fillId="0" borderId="1" xfId="0" applyNumberFormat="1" applyFont="1" applyBorder="1" applyAlignment="1" applyProtection="1">
      <alignment horizontal="center" vertical="center" wrapText="1"/>
    </xf>
    <xf numFmtId="0" fontId="2" fillId="0" borderId="3" xfId="0" applyFont="1" applyBorder="1" applyAlignment="1" applyProtection="1">
      <alignment horizontal="center" vertical="center" wrapText="1"/>
    </xf>
    <xf numFmtId="4" fontId="1" fillId="0" borderId="4" xfId="0" applyNumberFormat="1" applyFont="1" applyBorder="1" applyAlignment="1" applyProtection="1">
      <alignment horizontal="center" vertical="center"/>
    </xf>
    <xf numFmtId="0" fontId="2" fillId="2" borderId="3" xfId="0" applyFont="1" applyFill="1" applyBorder="1" applyAlignment="1" applyProtection="1">
      <alignment horizontal="center" vertical="center" wrapText="1"/>
    </xf>
    <xf numFmtId="0" fontId="2" fillId="0" borderId="5" xfId="0" applyFont="1" applyBorder="1" applyAlignment="1" applyProtection="1">
      <alignment horizontal="center" vertical="center" wrapText="1"/>
    </xf>
    <xf numFmtId="4" fontId="1" fillId="0" borderId="2" xfId="0" applyNumberFormat="1" applyFont="1" applyBorder="1" applyAlignment="1" applyProtection="1">
      <alignment horizontal="center" vertical="center" wrapText="1"/>
    </xf>
    <xf numFmtId="4" fontId="1" fillId="0" borderId="6" xfId="0" applyNumberFormat="1" applyFont="1" applyBorder="1" applyAlignment="1" applyProtection="1">
      <alignment horizontal="center" vertical="center"/>
    </xf>
    <xf numFmtId="0" fontId="2" fillId="0" borderId="7" xfId="0" applyFont="1" applyBorder="1" applyAlignment="1" applyProtection="1">
      <alignment horizontal="center" vertical="center" wrapText="1"/>
    </xf>
    <xf numFmtId="0" fontId="2" fillId="0" borderId="8" xfId="0" applyFont="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0" fontId="2" fillId="0" borderId="9" xfId="0" applyFont="1" applyBorder="1" applyAlignment="1" applyProtection="1">
      <alignment horizontal="center" vertical="center" wrapText="1"/>
    </xf>
    <xf numFmtId="4" fontId="1" fillId="0" borderId="6" xfId="0" applyNumberFormat="1" applyFont="1" applyBorder="1" applyAlignment="1" applyProtection="1">
      <alignment horizontal="center" vertical="center" wrapText="1"/>
    </xf>
    <xf numFmtId="4" fontId="1" fillId="0" borderId="2" xfId="0" applyNumberFormat="1" applyFont="1" applyBorder="1" applyAlignment="1" applyProtection="1">
      <alignment horizontal="center" vertical="center"/>
    </xf>
    <xf numFmtId="0" fontId="0" fillId="0" borderId="0" xfId="0" applyAlignment="1" applyProtection="1">
      <alignment horizontal="center" vertical="center"/>
    </xf>
    <xf numFmtId="0" fontId="0" fillId="0" borderId="0" xfId="0" applyProtection="1"/>
    <xf numFmtId="0" fontId="4" fillId="0" borderId="0" xfId="0" applyFont="1" applyProtection="1"/>
    <xf numFmtId="0" fontId="1" fillId="0" borderId="0" xfId="0" applyFont="1" applyProtection="1"/>
    <xf numFmtId="164" fontId="0" fillId="0" borderId="0" xfId="0" applyNumberFormat="1" applyAlignment="1" applyProtection="1">
      <alignment horizontal="center" vertical="center"/>
    </xf>
    <xf numFmtId="0" fontId="5" fillId="0" borderId="0" xfId="0" applyFont="1" applyProtection="1"/>
    <xf numFmtId="0" fontId="0" fillId="0" borderId="0" xfId="0" applyAlignment="1" applyProtection="1">
      <alignment horizontal="center" vertical="center"/>
    </xf>
    <xf numFmtId="0" fontId="2" fillId="0" borderId="0" xfId="0" applyFont="1" applyAlignment="1" applyProtection="1">
      <alignment horizontal="center"/>
    </xf>
    <xf numFmtId="4" fontId="0" fillId="0" borderId="0" xfId="0" applyNumberFormat="1" applyProtection="1"/>
    <xf numFmtId="4" fontId="0" fillId="0" borderId="0" xfId="0" applyNumberFormat="1" applyAlignment="1" applyProtection="1">
      <alignment horizontal="center" vertical="center"/>
    </xf>
    <xf numFmtId="0" fontId="2" fillId="0" borderId="10" xfId="0" applyFont="1" applyBorder="1" applyAlignment="1" applyProtection="1">
      <alignment horizontal="center" vertical="center" wrapText="1"/>
    </xf>
    <xf numFmtId="4" fontId="1" fillId="0" borderId="11" xfId="0" applyNumberFormat="1" applyFont="1" applyBorder="1" applyAlignment="1" applyProtection="1">
      <alignment horizontal="center" vertical="center"/>
    </xf>
    <xf numFmtId="4" fontId="1" fillId="0" borderId="12" xfId="0" applyNumberFormat="1" applyFont="1" applyBorder="1" applyAlignment="1" applyProtection="1">
      <alignment horizontal="center" vertical="center"/>
    </xf>
    <xf numFmtId="0" fontId="2" fillId="2" borderId="13" xfId="0" applyFont="1" applyFill="1" applyBorder="1" applyAlignment="1" applyProtection="1">
      <alignment horizontal="center" vertical="center" wrapText="1"/>
    </xf>
    <xf numFmtId="4" fontId="1" fillId="0" borderId="14" xfId="0" applyNumberFormat="1" applyFont="1" applyBorder="1" applyAlignment="1" applyProtection="1">
      <alignment horizontal="center" vertical="center"/>
    </xf>
    <xf numFmtId="4" fontId="1" fillId="0" borderId="15" xfId="0" applyNumberFormat="1" applyFont="1" applyBorder="1" applyAlignment="1" applyProtection="1">
      <alignment horizontal="center" vertical="center"/>
    </xf>
    <xf numFmtId="4" fontId="1" fillId="0" borderId="16" xfId="0" applyNumberFormat="1" applyFont="1" applyBorder="1" applyAlignment="1" applyProtection="1">
      <alignment horizontal="center" vertical="center"/>
    </xf>
    <xf numFmtId="0" fontId="0" fillId="3" borderId="0" xfId="0" applyFill="1" applyAlignment="1" applyProtection="1">
      <alignment horizontal="center" vertical="center" wrapText="1"/>
    </xf>
    <xf numFmtId="0" fontId="0" fillId="3" borderId="0" xfId="0" applyFill="1" applyAlignment="1" applyProtection="1">
      <alignment vertical="center" wrapText="1"/>
    </xf>
    <xf numFmtId="0" fontId="0" fillId="0" borderId="0" xfId="0" applyFill="1" applyAlignment="1" applyProtection="1">
      <alignment vertical="center" wrapText="1"/>
    </xf>
    <xf numFmtId="0" fontId="0" fillId="0" borderId="0" xfId="0" applyFill="1" applyAlignment="1" applyProtection="1">
      <alignment horizontal="center" vertical="center" wrapText="1"/>
    </xf>
    <xf numFmtId="0" fontId="1" fillId="3" borderId="0" xfId="0" applyFont="1" applyFill="1" applyAlignment="1" applyProtection="1">
      <alignment vertical="center" wrapText="1"/>
    </xf>
    <xf numFmtId="0" fontId="3" fillId="0" borderId="0" xfId="0" applyFont="1" applyAlignment="1" applyProtection="1">
      <alignment horizontal="center"/>
    </xf>
    <xf numFmtId="0" fontId="2" fillId="0" borderId="0" xfId="0" applyFont="1" applyAlignment="1" applyProtection="1">
      <alignment horizontal="center"/>
    </xf>
    <xf numFmtId="0" fontId="1" fillId="0" borderId="27" xfId="0" applyFont="1" applyBorder="1" applyAlignment="1" applyProtection="1">
      <alignment horizontal="center" vertical="center" wrapText="1"/>
      <protection locked="0"/>
    </xf>
    <xf numFmtId="0" fontId="0" fillId="0" borderId="28" xfId="0" applyBorder="1" applyAlignment="1" applyProtection="1">
      <alignment horizontal="center" vertical="center" wrapText="1"/>
      <protection locked="0"/>
    </xf>
    <xf numFmtId="0" fontId="0" fillId="0" borderId="29" xfId="0" applyBorder="1" applyAlignment="1" applyProtection="1">
      <alignment horizontal="center" vertical="center" wrapText="1"/>
      <protection locked="0"/>
    </xf>
    <xf numFmtId="0" fontId="0" fillId="0" borderId="30" xfId="0" applyBorder="1" applyAlignment="1" applyProtection="1">
      <alignment horizontal="center" vertical="center" wrapText="1"/>
      <protection locked="0"/>
    </xf>
    <xf numFmtId="0" fontId="2" fillId="0" borderId="25" xfId="0" applyFont="1" applyBorder="1" applyAlignment="1" applyProtection="1">
      <alignment horizontal="center" vertical="center" wrapText="1"/>
    </xf>
    <xf numFmtId="0" fontId="2" fillId="0" borderId="26" xfId="0" applyFont="1" applyBorder="1" applyAlignment="1" applyProtection="1">
      <alignment horizontal="center" vertical="center" wrapText="1"/>
    </xf>
    <xf numFmtId="0" fontId="2" fillId="0" borderId="27" xfId="0" applyFont="1" applyBorder="1" applyAlignment="1" applyProtection="1">
      <alignment horizontal="center" vertical="center" wrapText="1"/>
    </xf>
    <xf numFmtId="0" fontId="2" fillId="0" borderId="28" xfId="0" applyFont="1" applyBorder="1" applyAlignment="1" applyProtection="1">
      <alignment horizontal="center" vertical="center" wrapText="1"/>
    </xf>
    <xf numFmtId="0" fontId="0" fillId="0" borderId="27" xfId="0" applyBorder="1" applyAlignment="1" applyProtection="1">
      <alignment horizontal="center" vertical="center" wrapText="1"/>
      <protection locked="0"/>
    </xf>
    <xf numFmtId="0" fontId="7" fillId="0" borderId="25" xfId="0" applyFont="1" applyFill="1" applyBorder="1" applyAlignment="1" applyProtection="1">
      <alignment horizontal="center" vertical="center" wrapText="1"/>
    </xf>
    <xf numFmtId="0" fontId="7" fillId="0" borderId="26" xfId="0" applyFont="1" applyFill="1" applyBorder="1" applyAlignment="1" applyProtection="1">
      <alignment horizontal="center" vertical="center" wrapText="1"/>
    </xf>
    <xf numFmtId="0" fontId="7" fillId="0" borderId="27" xfId="0" applyFont="1" applyFill="1" applyBorder="1" applyAlignment="1" applyProtection="1">
      <alignment horizontal="center" vertical="center" wrapText="1"/>
    </xf>
    <xf numFmtId="0" fontId="7" fillId="0" borderId="28" xfId="0" applyFont="1" applyFill="1" applyBorder="1" applyAlignment="1" applyProtection="1">
      <alignment horizontal="center" vertical="center" wrapText="1"/>
    </xf>
    <xf numFmtId="0" fontId="7" fillId="0" borderId="29" xfId="0" applyFont="1" applyFill="1" applyBorder="1" applyAlignment="1" applyProtection="1">
      <alignment horizontal="center" vertical="center" wrapText="1"/>
    </xf>
    <xf numFmtId="0" fontId="7" fillId="0" borderId="30" xfId="0" applyFont="1" applyFill="1" applyBorder="1" applyAlignment="1" applyProtection="1">
      <alignment horizontal="center" vertical="center" wrapText="1"/>
    </xf>
    <xf numFmtId="0" fontId="6" fillId="0" borderId="17" xfId="0" applyFont="1" applyBorder="1" applyAlignment="1" applyProtection="1">
      <alignment horizontal="center" vertical="center" wrapText="1"/>
    </xf>
    <xf numFmtId="0" fontId="6" fillId="0" borderId="23" xfId="0" applyFont="1" applyBorder="1" applyAlignment="1" applyProtection="1">
      <alignment horizontal="center" vertical="center" wrapText="1"/>
    </xf>
    <xf numFmtId="0" fontId="6" fillId="0" borderId="18" xfId="0" applyFont="1" applyBorder="1" applyAlignment="1" applyProtection="1">
      <alignment horizontal="center" vertical="center" wrapText="1"/>
    </xf>
    <xf numFmtId="0" fontId="6" fillId="0" borderId="19" xfId="0"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6" fillId="0" borderId="20" xfId="0" applyFont="1" applyBorder="1" applyAlignment="1" applyProtection="1">
      <alignment horizontal="center" vertical="center" wrapText="1"/>
    </xf>
    <xf numFmtId="0" fontId="6" fillId="0" borderId="21" xfId="0" applyFont="1" applyBorder="1" applyAlignment="1" applyProtection="1">
      <alignment horizontal="center" vertical="center" wrapText="1"/>
    </xf>
    <xf numFmtId="0" fontId="6" fillId="0" borderId="24" xfId="0" applyFont="1" applyBorder="1" applyAlignment="1" applyProtection="1">
      <alignment horizontal="center" vertical="center" wrapText="1"/>
    </xf>
    <xf numFmtId="0" fontId="6" fillId="0" borderId="22" xfId="0" applyFont="1" applyBorder="1" applyAlignment="1" applyProtection="1">
      <alignment horizontal="center" vertical="center" wrapText="1"/>
    </xf>
    <xf numFmtId="0" fontId="1" fillId="3" borderId="23" xfId="0" applyFont="1" applyFill="1" applyBorder="1" applyAlignment="1" applyProtection="1">
      <alignment horizontal="center" vertical="center" wrapText="1"/>
    </xf>
    <xf numFmtId="0" fontId="0" fillId="3" borderId="23" xfId="0" applyFill="1" applyBorder="1" applyAlignment="1" applyProtection="1">
      <alignment horizontal="center" vertical="center" wrapText="1"/>
    </xf>
  </cellXfs>
  <cellStyles count="1">
    <cellStyle name="Normal" xfId="0" builtinId="0"/>
  </cellStyles>
  <dxfs count="0"/>
  <tableStyles count="0" defaultTableStyle="TableStyleMedium9" defaultPivotStyle="PivotStyleLight16"/>
  <colors>
    <mruColors>
      <color rgb="FF4747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60"/>
  <sheetViews>
    <sheetView zoomScaleNormal="100" workbookViewId="0">
      <selection activeCell="E16" sqref="E16"/>
    </sheetView>
  </sheetViews>
  <sheetFormatPr defaultRowHeight="12.75" x14ac:dyDescent="0.2"/>
  <cols>
    <col min="1" max="1" width="6.5703125" style="18" bestFit="1" customWidth="1"/>
    <col min="2" max="4" width="9.140625" style="18"/>
    <col min="5" max="5" width="9.140625" style="18" bestFit="1" customWidth="1"/>
    <col min="6" max="23" width="9.140625" style="18"/>
    <col min="24" max="24" width="9.42578125" style="18" customWidth="1"/>
    <col min="25" max="25" width="10.5703125" style="18" customWidth="1"/>
    <col min="26" max="26" width="6.5703125" style="18" bestFit="1" customWidth="1"/>
    <col min="27" max="16384" width="9.140625" style="18"/>
  </cols>
  <sheetData>
    <row r="1" spans="1:26" ht="26.25" thickBot="1" x14ac:dyDescent="0.25">
      <c r="A1" s="11" t="s">
        <v>49</v>
      </c>
      <c r="B1" s="12" t="s">
        <v>50</v>
      </c>
      <c r="C1" s="12" t="s">
        <v>0</v>
      </c>
      <c r="D1" s="12" t="s">
        <v>1</v>
      </c>
      <c r="E1" s="12" t="s">
        <v>2</v>
      </c>
      <c r="F1" s="12" t="s">
        <v>3</v>
      </c>
      <c r="G1" s="12" t="s">
        <v>4</v>
      </c>
      <c r="H1" s="12" t="s">
        <v>5</v>
      </c>
      <c r="I1" s="12" t="s">
        <v>6</v>
      </c>
      <c r="J1" s="12" t="s">
        <v>7</v>
      </c>
      <c r="K1" s="12" t="s">
        <v>8</v>
      </c>
      <c r="L1" s="12" t="s">
        <v>9</v>
      </c>
      <c r="M1" s="12" t="s">
        <v>10</v>
      </c>
      <c r="N1" s="12" t="s">
        <v>11</v>
      </c>
      <c r="O1" s="12" t="s">
        <v>12</v>
      </c>
      <c r="P1" s="12" t="s">
        <v>13</v>
      </c>
      <c r="Q1" s="12" t="s">
        <v>51</v>
      </c>
      <c r="R1" s="12" t="s">
        <v>14</v>
      </c>
      <c r="S1" s="12" t="s">
        <v>15</v>
      </c>
      <c r="T1" s="12" t="s">
        <v>16</v>
      </c>
      <c r="U1" s="12" t="s">
        <v>17</v>
      </c>
      <c r="V1" s="12" t="s">
        <v>18</v>
      </c>
      <c r="W1" s="14" t="s">
        <v>19</v>
      </c>
      <c r="X1" s="27" t="s">
        <v>48</v>
      </c>
      <c r="Y1" s="12" t="s">
        <v>47</v>
      </c>
      <c r="Z1" s="13" t="s">
        <v>36</v>
      </c>
    </row>
    <row r="2" spans="1:26" x14ac:dyDescent="0.2">
      <c r="A2" s="8" t="s">
        <v>46</v>
      </c>
      <c r="B2" s="2"/>
      <c r="C2" s="2"/>
      <c r="D2" s="2"/>
      <c r="E2" s="2"/>
      <c r="F2" s="2"/>
      <c r="G2" s="2"/>
      <c r="H2" s="2"/>
      <c r="I2" s="2"/>
      <c r="J2" s="2"/>
      <c r="K2" s="2"/>
      <c r="L2" s="2"/>
      <c r="M2" s="9">
        <v>16025.1</v>
      </c>
      <c r="N2" s="9">
        <v>16025.1</v>
      </c>
      <c r="O2" s="9">
        <v>16025.1</v>
      </c>
      <c r="P2" s="9">
        <v>16025.1</v>
      </c>
      <c r="Q2" s="9">
        <v>16025.1</v>
      </c>
      <c r="R2" s="9">
        <v>16025.1</v>
      </c>
      <c r="S2" s="9">
        <v>16025.1</v>
      </c>
      <c r="T2" s="9">
        <v>16025.1</v>
      </c>
      <c r="U2" s="9">
        <v>16025.1</v>
      </c>
      <c r="V2" s="9">
        <v>16025.1</v>
      </c>
      <c r="W2" s="15">
        <v>16025.1</v>
      </c>
      <c r="X2" s="28">
        <v>1698</v>
      </c>
      <c r="Y2" s="16">
        <v>1353</v>
      </c>
      <c r="Z2" s="10">
        <v>254.39</v>
      </c>
    </row>
    <row r="3" spans="1:26" x14ac:dyDescent="0.2">
      <c r="A3" s="5" t="s">
        <v>42</v>
      </c>
      <c r="B3" s="4"/>
      <c r="C3" s="4"/>
      <c r="D3" s="4"/>
      <c r="E3" s="4"/>
      <c r="F3" s="4"/>
      <c r="G3" s="4"/>
      <c r="H3" s="4"/>
      <c r="I3" s="4"/>
      <c r="J3" s="4"/>
      <c r="K3" s="4"/>
      <c r="L3" s="4"/>
      <c r="M3" s="3">
        <v>15078.6</v>
      </c>
      <c r="N3" s="3">
        <v>15296.4</v>
      </c>
      <c r="O3" s="3">
        <v>15610.2</v>
      </c>
      <c r="P3" s="3">
        <v>16025.1</v>
      </c>
      <c r="Q3" s="3">
        <v>16025.1</v>
      </c>
      <c r="R3" s="3">
        <v>16025.1</v>
      </c>
      <c r="S3" s="3">
        <v>16025.1</v>
      </c>
      <c r="T3" s="3">
        <v>16025.1</v>
      </c>
      <c r="U3" s="3">
        <v>16025.1</v>
      </c>
      <c r="V3" s="3">
        <v>16025.1</v>
      </c>
      <c r="W3" s="6">
        <v>16025.1</v>
      </c>
      <c r="X3" s="29">
        <v>1698</v>
      </c>
      <c r="Y3" s="3">
        <v>1353</v>
      </c>
      <c r="Z3" s="6">
        <v>254.39</v>
      </c>
    </row>
    <row r="4" spans="1:26" x14ac:dyDescent="0.2">
      <c r="A4" s="5" t="s">
        <v>43</v>
      </c>
      <c r="B4" s="3">
        <v>10668.9</v>
      </c>
      <c r="C4" s="3">
        <v>11018.7</v>
      </c>
      <c r="D4" s="3">
        <v>11250.6</v>
      </c>
      <c r="E4" s="3">
        <v>11315.4</v>
      </c>
      <c r="F4" s="3">
        <v>11604.9</v>
      </c>
      <c r="G4" s="3">
        <v>12088.2</v>
      </c>
      <c r="H4" s="3">
        <v>12200.7</v>
      </c>
      <c r="I4" s="3">
        <v>12659.7</v>
      </c>
      <c r="J4" s="3">
        <v>12791.7</v>
      </c>
      <c r="K4" s="3">
        <v>13187.1</v>
      </c>
      <c r="L4" s="3">
        <v>13759.5</v>
      </c>
      <c r="M4" s="3">
        <v>14287.2</v>
      </c>
      <c r="N4" s="3">
        <v>14639.4</v>
      </c>
      <c r="O4" s="3">
        <v>14639.4</v>
      </c>
      <c r="P4" s="3">
        <v>14639.4</v>
      </c>
      <c r="Q4" s="3">
        <v>14639.4</v>
      </c>
      <c r="R4" s="3">
        <v>15006</v>
      </c>
      <c r="S4" s="3">
        <v>15006</v>
      </c>
      <c r="T4" s="3">
        <v>15380.7</v>
      </c>
      <c r="U4" s="3">
        <v>15380.7</v>
      </c>
      <c r="V4" s="3">
        <v>15380.7</v>
      </c>
      <c r="W4" s="6">
        <v>15380.7</v>
      </c>
      <c r="X4" s="29">
        <v>1698</v>
      </c>
      <c r="Y4" s="3">
        <v>1353</v>
      </c>
      <c r="Z4" s="6">
        <v>254.39</v>
      </c>
    </row>
    <row r="5" spans="1:26" x14ac:dyDescent="0.2">
      <c r="A5" s="7" t="s">
        <v>44</v>
      </c>
      <c r="B5" s="3">
        <v>8865.2999999999993</v>
      </c>
      <c r="C5" s="3">
        <v>9276.9</v>
      </c>
      <c r="D5" s="3">
        <v>9467.7000000000007</v>
      </c>
      <c r="E5" s="3">
        <v>9619.2000000000007</v>
      </c>
      <c r="F5" s="3">
        <v>9893.4</v>
      </c>
      <c r="G5" s="3">
        <v>10164.6</v>
      </c>
      <c r="H5" s="3">
        <v>10477.799999999999</v>
      </c>
      <c r="I5" s="3">
        <v>10790.1</v>
      </c>
      <c r="J5" s="3">
        <v>11103.6</v>
      </c>
      <c r="K5" s="3">
        <v>12088.2</v>
      </c>
      <c r="L5" s="3">
        <v>12919.2</v>
      </c>
      <c r="M5" s="3">
        <v>12919.2</v>
      </c>
      <c r="N5" s="3">
        <v>12919.2</v>
      </c>
      <c r="O5" s="3">
        <v>12919.2</v>
      </c>
      <c r="P5" s="3">
        <v>12985.5</v>
      </c>
      <c r="Q5" s="3">
        <v>12985.5</v>
      </c>
      <c r="R5" s="3">
        <v>13245.3</v>
      </c>
      <c r="S5" s="3">
        <v>13245.3</v>
      </c>
      <c r="T5" s="3">
        <v>13245.3</v>
      </c>
      <c r="U5" s="3">
        <v>13245.3</v>
      </c>
      <c r="V5" s="3">
        <v>13245.3</v>
      </c>
      <c r="W5" s="6">
        <v>13245.3</v>
      </c>
      <c r="X5" s="29">
        <v>1698</v>
      </c>
      <c r="Y5" s="3">
        <v>1353</v>
      </c>
      <c r="Z5" s="6">
        <v>254.39</v>
      </c>
    </row>
    <row r="6" spans="1:26" x14ac:dyDescent="0.2">
      <c r="A6" s="7" t="s">
        <v>45</v>
      </c>
      <c r="B6" s="3">
        <v>6722.7</v>
      </c>
      <c r="C6" s="3">
        <v>7385.7</v>
      </c>
      <c r="D6" s="3">
        <v>7870.5</v>
      </c>
      <c r="E6" s="3">
        <v>7870.5</v>
      </c>
      <c r="F6" s="3">
        <v>7900.5</v>
      </c>
      <c r="G6" s="3">
        <v>8239.2000000000007</v>
      </c>
      <c r="H6" s="3">
        <v>8283.9</v>
      </c>
      <c r="I6" s="3">
        <v>8283.9</v>
      </c>
      <c r="J6" s="3">
        <v>8754.2999999999993</v>
      </c>
      <c r="K6" s="3">
        <v>9586.7999999999993</v>
      </c>
      <c r="L6" s="3">
        <v>10075.200000000001</v>
      </c>
      <c r="M6" s="3">
        <v>10563.3</v>
      </c>
      <c r="N6" s="3">
        <v>10841.4</v>
      </c>
      <c r="O6" s="3">
        <v>11123.1</v>
      </c>
      <c r="P6" s="3">
        <v>11668.2</v>
      </c>
      <c r="Q6" s="3">
        <v>11668.2</v>
      </c>
      <c r="R6" s="3">
        <v>11901.3</v>
      </c>
      <c r="S6" s="3">
        <v>11901.3</v>
      </c>
      <c r="T6" s="3">
        <v>11901.3</v>
      </c>
      <c r="U6" s="3">
        <v>11901.3</v>
      </c>
      <c r="V6" s="3">
        <v>11901.3</v>
      </c>
      <c r="W6" s="6">
        <v>11901.3</v>
      </c>
      <c r="X6" s="29">
        <v>1686</v>
      </c>
      <c r="Y6" s="3">
        <v>1323</v>
      </c>
      <c r="Z6" s="6">
        <v>254.39</v>
      </c>
    </row>
    <row r="7" spans="1:26" x14ac:dyDescent="0.2">
      <c r="A7" s="7" t="s">
        <v>37</v>
      </c>
      <c r="B7" s="3">
        <v>5604.3</v>
      </c>
      <c r="C7" s="3">
        <v>6313.5</v>
      </c>
      <c r="D7" s="3">
        <v>6750</v>
      </c>
      <c r="E7" s="3">
        <v>6832.5</v>
      </c>
      <c r="F7" s="3">
        <v>7105.5</v>
      </c>
      <c r="G7" s="3">
        <v>7268.4</v>
      </c>
      <c r="H7" s="3">
        <v>7627.2</v>
      </c>
      <c r="I7" s="3">
        <v>7890.9</v>
      </c>
      <c r="J7" s="3">
        <v>8230.7999999999993</v>
      </c>
      <c r="K7" s="3">
        <v>8751.2999999999993</v>
      </c>
      <c r="L7" s="3">
        <v>8998.5</v>
      </c>
      <c r="M7" s="3">
        <v>9243.6</v>
      </c>
      <c r="N7" s="3">
        <v>9521.4</v>
      </c>
      <c r="O7" s="3">
        <v>9521.4</v>
      </c>
      <c r="P7" s="3">
        <v>9521.4</v>
      </c>
      <c r="Q7" s="3">
        <v>9521.4</v>
      </c>
      <c r="R7" s="3">
        <v>9521.4</v>
      </c>
      <c r="S7" s="3">
        <v>9521.4</v>
      </c>
      <c r="T7" s="3">
        <v>9521.4</v>
      </c>
      <c r="U7" s="3">
        <v>9521.4</v>
      </c>
      <c r="V7" s="3">
        <v>9521.4</v>
      </c>
      <c r="W7" s="6">
        <v>9521.4</v>
      </c>
      <c r="X7" s="29">
        <v>1674</v>
      </c>
      <c r="Y7" s="3">
        <v>1305</v>
      </c>
      <c r="Z7" s="6">
        <v>254.39</v>
      </c>
    </row>
    <row r="8" spans="1:26" x14ac:dyDescent="0.2">
      <c r="A8" s="7" t="s">
        <v>38</v>
      </c>
      <c r="B8" s="3">
        <v>4835.3999999999996</v>
      </c>
      <c r="C8" s="3">
        <v>5597.4</v>
      </c>
      <c r="D8" s="3">
        <v>5971.2</v>
      </c>
      <c r="E8" s="3">
        <v>6054</v>
      </c>
      <c r="F8" s="3">
        <v>6400.8</v>
      </c>
      <c r="G8" s="3">
        <v>6772.8</v>
      </c>
      <c r="H8" s="3">
        <v>7236</v>
      </c>
      <c r="I8" s="3">
        <v>7596.3</v>
      </c>
      <c r="J8" s="3">
        <v>7846.5</v>
      </c>
      <c r="K8" s="3">
        <v>7990.5</v>
      </c>
      <c r="L8" s="3">
        <v>8073.9</v>
      </c>
      <c r="M8" s="3">
        <v>8073.9</v>
      </c>
      <c r="N8" s="3">
        <v>8073.9</v>
      </c>
      <c r="O8" s="3">
        <v>8073.9</v>
      </c>
      <c r="P8" s="3">
        <v>8073.9</v>
      </c>
      <c r="Q8" s="3">
        <v>8073.9</v>
      </c>
      <c r="R8" s="3">
        <v>8073.9</v>
      </c>
      <c r="S8" s="3">
        <v>8073.9</v>
      </c>
      <c r="T8" s="3">
        <v>8073.9</v>
      </c>
      <c r="U8" s="3">
        <v>8073.9</v>
      </c>
      <c r="V8" s="3">
        <v>8073.9</v>
      </c>
      <c r="W8" s="6">
        <v>8073.9</v>
      </c>
      <c r="X8" s="29">
        <v>1533</v>
      </c>
      <c r="Y8" s="3">
        <v>1293</v>
      </c>
      <c r="Z8" s="6">
        <v>254.39</v>
      </c>
    </row>
    <row r="9" spans="1:26" x14ac:dyDescent="0.2">
      <c r="A9" s="7" t="s">
        <v>39</v>
      </c>
      <c r="B9" s="3">
        <v>4251.6000000000004</v>
      </c>
      <c r="C9" s="3">
        <v>4819.2</v>
      </c>
      <c r="D9" s="3">
        <v>5201.3999999999996</v>
      </c>
      <c r="E9" s="3">
        <v>5671.5</v>
      </c>
      <c r="F9" s="3">
        <v>5943.6</v>
      </c>
      <c r="G9" s="3">
        <v>6241.5</v>
      </c>
      <c r="H9" s="3">
        <v>6434.4</v>
      </c>
      <c r="I9" s="3">
        <v>6751.2</v>
      </c>
      <c r="J9" s="3">
        <v>6916.8</v>
      </c>
      <c r="K9" s="3">
        <v>6916.8</v>
      </c>
      <c r="L9" s="3">
        <v>6916.8</v>
      </c>
      <c r="M9" s="3">
        <v>6916.8</v>
      </c>
      <c r="N9" s="3">
        <v>6916.8</v>
      </c>
      <c r="O9" s="3">
        <v>6916.8</v>
      </c>
      <c r="P9" s="3">
        <v>6916.8</v>
      </c>
      <c r="Q9" s="3">
        <v>6916.8</v>
      </c>
      <c r="R9" s="3">
        <v>6916.8</v>
      </c>
      <c r="S9" s="3">
        <v>6916.8</v>
      </c>
      <c r="T9" s="3">
        <v>6916.8</v>
      </c>
      <c r="U9" s="3">
        <v>6916.8</v>
      </c>
      <c r="V9" s="3">
        <v>6916.8</v>
      </c>
      <c r="W9" s="6">
        <v>6916.8</v>
      </c>
      <c r="X9" s="29">
        <v>1341</v>
      </c>
      <c r="Y9" s="3">
        <v>1245</v>
      </c>
      <c r="Z9" s="6">
        <v>254.39</v>
      </c>
    </row>
    <row r="10" spans="1:26" x14ac:dyDescent="0.2">
      <c r="A10" s="7" t="s">
        <v>40</v>
      </c>
      <c r="B10" s="3">
        <v>3673.5</v>
      </c>
      <c r="C10" s="3">
        <v>4183.8</v>
      </c>
      <c r="D10" s="3">
        <v>4818.3</v>
      </c>
      <c r="E10" s="3">
        <v>4981.2</v>
      </c>
      <c r="F10" s="3">
        <v>5083.8</v>
      </c>
      <c r="G10" s="3">
        <v>5083.8</v>
      </c>
      <c r="H10" s="3">
        <v>5083.8</v>
      </c>
      <c r="I10" s="3">
        <v>5083.8</v>
      </c>
      <c r="J10" s="3">
        <v>5083.8</v>
      </c>
      <c r="K10" s="3">
        <v>5083.8</v>
      </c>
      <c r="L10" s="3">
        <v>5083.8</v>
      </c>
      <c r="M10" s="3">
        <v>5083.8</v>
      </c>
      <c r="N10" s="3">
        <v>5083.8</v>
      </c>
      <c r="O10" s="3">
        <v>5083.8</v>
      </c>
      <c r="P10" s="3">
        <v>5083.8</v>
      </c>
      <c r="Q10" s="3">
        <v>5083.8</v>
      </c>
      <c r="R10" s="3">
        <v>5083.8</v>
      </c>
      <c r="S10" s="3">
        <v>5083.8</v>
      </c>
      <c r="T10" s="3">
        <v>5083.8</v>
      </c>
      <c r="U10" s="3">
        <v>5083.8</v>
      </c>
      <c r="V10" s="3">
        <v>5083.8</v>
      </c>
      <c r="W10" s="6">
        <v>5083.8</v>
      </c>
      <c r="X10" s="29">
        <v>1278</v>
      </c>
      <c r="Y10" s="3">
        <v>1215</v>
      </c>
      <c r="Z10" s="6">
        <v>254.39</v>
      </c>
    </row>
    <row r="11" spans="1:26" x14ac:dyDescent="0.2">
      <c r="A11" s="7" t="s">
        <v>41</v>
      </c>
      <c r="B11" s="3">
        <v>3188.4</v>
      </c>
      <c r="C11" s="3">
        <v>3318.9</v>
      </c>
      <c r="D11" s="3">
        <v>4011.9</v>
      </c>
      <c r="E11" s="3">
        <v>4011.9</v>
      </c>
      <c r="F11" s="3">
        <v>4011.9</v>
      </c>
      <c r="G11" s="3">
        <v>4011.9</v>
      </c>
      <c r="H11" s="3">
        <v>4011.9</v>
      </c>
      <c r="I11" s="3">
        <v>4011.9</v>
      </c>
      <c r="J11" s="3">
        <v>4011.9</v>
      </c>
      <c r="K11" s="3">
        <v>4011.9</v>
      </c>
      <c r="L11" s="3">
        <v>4011.9</v>
      </c>
      <c r="M11" s="3">
        <v>4011.9</v>
      </c>
      <c r="N11" s="3">
        <v>4011.9</v>
      </c>
      <c r="O11" s="3">
        <v>4011.9</v>
      </c>
      <c r="P11" s="3">
        <v>4011.9</v>
      </c>
      <c r="Q11" s="3">
        <v>4011.9</v>
      </c>
      <c r="R11" s="3">
        <v>4011.9</v>
      </c>
      <c r="S11" s="3">
        <v>4011.9</v>
      </c>
      <c r="T11" s="3">
        <v>4011.9</v>
      </c>
      <c r="U11" s="3">
        <v>4011.9</v>
      </c>
      <c r="V11" s="3">
        <v>4011.9</v>
      </c>
      <c r="W11" s="6">
        <v>4011.9</v>
      </c>
      <c r="X11" s="29">
        <v>1206</v>
      </c>
      <c r="Y11" s="3">
        <v>1194</v>
      </c>
      <c r="Z11" s="6">
        <v>254.39</v>
      </c>
    </row>
    <row r="12" spans="1:26" x14ac:dyDescent="0.2">
      <c r="A12" s="7" t="s">
        <v>20</v>
      </c>
      <c r="B12" s="4"/>
      <c r="C12" s="4"/>
      <c r="D12" s="4"/>
      <c r="E12" s="3">
        <v>5671.5</v>
      </c>
      <c r="F12" s="3">
        <v>5943.6</v>
      </c>
      <c r="G12" s="3">
        <v>6241.5</v>
      </c>
      <c r="H12" s="3">
        <v>6434.4</v>
      </c>
      <c r="I12" s="3">
        <v>6751.2</v>
      </c>
      <c r="J12" s="3">
        <v>7018.8</v>
      </c>
      <c r="K12" s="3">
        <v>7172.7</v>
      </c>
      <c r="L12" s="3">
        <v>7381.8</v>
      </c>
      <c r="M12" s="3">
        <v>7381.8</v>
      </c>
      <c r="N12" s="3">
        <v>7381.8</v>
      </c>
      <c r="O12" s="3">
        <v>7381.8</v>
      </c>
      <c r="P12" s="3">
        <v>7381.8</v>
      </c>
      <c r="Q12" s="3">
        <v>7381.8</v>
      </c>
      <c r="R12" s="3">
        <v>7381.8</v>
      </c>
      <c r="S12" s="3">
        <v>7381.8</v>
      </c>
      <c r="T12" s="3">
        <v>7381.8</v>
      </c>
      <c r="U12" s="3">
        <v>7381.8</v>
      </c>
      <c r="V12" s="3">
        <v>7381.8</v>
      </c>
      <c r="W12" s="6">
        <v>7381.8</v>
      </c>
      <c r="X12" s="29">
        <v>1428</v>
      </c>
      <c r="Y12" s="3">
        <v>1272</v>
      </c>
      <c r="Z12" s="6">
        <v>254.39</v>
      </c>
    </row>
    <row r="13" spans="1:26" x14ac:dyDescent="0.2">
      <c r="A13" s="7" t="s">
        <v>21</v>
      </c>
      <c r="B13" s="4"/>
      <c r="C13" s="4"/>
      <c r="D13" s="4"/>
      <c r="E13" s="3">
        <v>4981.2</v>
      </c>
      <c r="F13" s="3">
        <v>5083.8</v>
      </c>
      <c r="G13" s="3">
        <v>5245.5</v>
      </c>
      <c r="H13" s="3">
        <v>5518.8</v>
      </c>
      <c r="I13" s="3">
        <v>5730</v>
      </c>
      <c r="J13" s="3">
        <v>5887.2</v>
      </c>
      <c r="K13" s="3">
        <v>5887.2</v>
      </c>
      <c r="L13" s="3">
        <v>5887.2</v>
      </c>
      <c r="M13" s="3">
        <v>5887.2</v>
      </c>
      <c r="N13" s="3">
        <v>5887.2</v>
      </c>
      <c r="O13" s="3">
        <v>5887.2</v>
      </c>
      <c r="P13" s="3">
        <v>5887.2</v>
      </c>
      <c r="Q13" s="3">
        <v>5887.2</v>
      </c>
      <c r="R13" s="3">
        <v>5887.2</v>
      </c>
      <c r="S13" s="3">
        <v>5887.2</v>
      </c>
      <c r="T13" s="3">
        <v>5887.2</v>
      </c>
      <c r="U13" s="3">
        <v>5887.2</v>
      </c>
      <c r="V13" s="3">
        <v>5887.2</v>
      </c>
      <c r="W13" s="6">
        <v>5887.2</v>
      </c>
      <c r="X13" s="29">
        <v>1335</v>
      </c>
      <c r="Y13" s="3">
        <v>1230</v>
      </c>
      <c r="Z13" s="6">
        <v>254.39</v>
      </c>
    </row>
    <row r="14" spans="1:26" x14ac:dyDescent="0.2">
      <c r="A14" s="7" t="s">
        <v>22</v>
      </c>
      <c r="B14" s="4"/>
      <c r="C14" s="4"/>
      <c r="D14" s="4"/>
      <c r="E14" s="3">
        <v>4011.9</v>
      </c>
      <c r="F14" s="3">
        <v>4284</v>
      </c>
      <c r="G14" s="3">
        <v>4442.3999999999996</v>
      </c>
      <c r="H14" s="3">
        <v>4604.3999999999996</v>
      </c>
      <c r="I14" s="3">
        <v>4763.3999999999996</v>
      </c>
      <c r="J14" s="3">
        <v>4981.2</v>
      </c>
      <c r="K14" s="3">
        <v>4981.2</v>
      </c>
      <c r="L14" s="3">
        <v>4981.2</v>
      </c>
      <c r="M14" s="3">
        <v>4981.2</v>
      </c>
      <c r="N14" s="3">
        <v>4981.2</v>
      </c>
      <c r="O14" s="3">
        <v>4981.2</v>
      </c>
      <c r="P14" s="3">
        <v>4981.2</v>
      </c>
      <c r="Q14" s="3">
        <v>4981.2</v>
      </c>
      <c r="R14" s="3">
        <v>4981.2</v>
      </c>
      <c r="S14" s="3">
        <v>4981.2</v>
      </c>
      <c r="T14" s="3">
        <v>4981.2</v>
      </c>
      <c r="U14" s="3">
        <v>4981.2</v>
      </c>
      <c r="V14" s="3">
        <v>4981.2</v>
      </c>
      <c r="W14" s="6">
        <v>4981.2</v>
      </c>
      <c r="X14" s="29">
        <v>1302</v>
      </c>
      <c r="Y14" s="3">
        <v>1218</v>
      </c>
      <c r="Z14" s="6">
        <v>254.39</v>
      </c>
    </row>
    <row r="15" spans="1:26" x14ac:dyDescent="0.2">
      <c r="A15" s="7" t="s">
        <v>23</v>
      </c>
      <c r="B15" s="4"/>
      <c r="C15" s="4"/>
      <c r="D15" s="4"/>
      <c r="E15" s="4"/>
      <c r="F15" s="4"/>
      <c r="G15" s="4"/>
      <c r="H15" s="4"/>
      <c r="I15" s="4"/>
      <c r="J15" s="4"/>
      <c r="K15" s="4"/>
      <c r="L15" s="4"/>
      <c r="M15" s="3">
        <v>7812.6</v>
      </c>
      <c r="N15" s="3">
        <v>8208.6</v>
      </c>
      <c r="O15" s="3">
        <v>8503.7999999999993</v>
      </c>
      <c r="P15" s="3">
        <v>8830.5</v>
      </c>
      <c r="Q15" s="3">
        <v>8830.5</v>
      </c>
      <c r="R15" s="3">
        <v>9272.7000000000007</v>
      </c>
      <c r="S15" s="3">
        <v>9272.7000000000007</v>
      </c>
      <c r="T15" s="3">
        <v>9735.6</v>
      </c>
      <c r="U15" s="3">
        <v>9735.6</v>
      </c>
      <c r="V15" s="3">
        <v>10223.4</v>
      </c>
      <c r="W15" s="6">
        <v>10223.4</v>
      </c>
      <c r="X15" s="29">
        <v>1506</v>
      </c>
      <c r="Y15" s="3">
        <v>1302</v>
      </c>
      <c r="Z15" s="6">
        <v>254.39</v>
      </c>
    </row>
    <row r="16" spans="1:26" x14ac:dyDescent="0.2">
      <c r="A16" s="7" t="s">
        <v>24</v>
      </c>
      <c r="B16" s="3">
        <v>4393.8</v>
      </c>
      <c r="C16" s="3">
        <v>4726.2</v>
      </c>
      <c r="D16" s="3">
        <v>4861.8</v>
      </c>
      <c r="E16" s="3">
        <v>4995.3</v>
      </c>
      <c r="F16" s="3">
        <v>5225.1000000000004</v>
      </c>
      <c r="G16" s="3">
        <v>5452.8</v>
      </c>
      <c r="H16" s="3">
        <v>5683.2</v>
      </c>
      <c r="I16" s="3">
        <v>6029.1</v>
      </c>
      <c r="J16" s="3">
        <v>6333</v>
      </c>
      <c r="K16" s="3">
        <v>6621.9</v>
      </c>
      <c r="L16" s="3">
        <v>6858.6</v>
      </c>
      <c r="M16" s="3">
        <v>7089.3</v>
      </c>
      <c r="N16" s="3">
        <v>7428</v>
      </c>
      <c r="O16" s="3">
        <v>7706.4</v>
      </c>
      <c r="P16" s="3">
        <v>8024.1</v>
      </c>
      <c r="Q16" s="3">
        <v>8024.1</v>
      </c>
      <c r="R16" s="3">
        <v>8184</v>
      </c>
      <c r="S16" s="3">
        <v>8184</v>
      </c>
      <c r="T16" s="3">
        <v>8184</v>
      </c>
      <c r="U16" s="3">
        <v>8184</v>
      </c>
      <c r="V16" s="3">
        <v>8184</v>
      </c>
      <c r="W16" s="6">
        <v>8184</v>
      </c>
      <c r="X16" s="29">
        <v>1416</v>
      </c>
      <c r="Y16" s="3">
        <v>1281</v>
      </c>
      <c r="Z16" s="6">
        <v>254.39</v>
      </c>
    </row>
    <row r="17" spans="1:26" x14ac:dyDescent="0.2">
      <c r="A17" s="7" t="s">
        <v>25</v>
      </c>
      <c r="B17" s="3">
        <v>4012.5</v>
      </c>
      <c r="C17" s="3">
        <v>4179.6000000000004</v>
      </c>
      <c r="D17" s="3">
        <v>4351.2</v>
      </c>
      <c r="E17" s="3">
        <v>4407.6000000000004</v>
      </c>
      <c r="F17" s="3">
        <v>4586.7</v>
      </c>
      <c r="G17" s="3">
        <v>4940.3999999999996</v>
      </c>
      <c r="H17" s="3">
        <v>5308.5</v>
      </c>
      <c r="I17" s="3">
        <v>5482.2</v>
      </c>
      <c r="J17" s="3">
        <v>5682.9</v>
      </c>
      <c r="K17" s="3">
        <v>5889</v>
      </c>
      <c r="L17" s="3">
        <v>6261</v>
      </c>
      <c r="M17" s="3">
        <v>6511.8</v>
      </c>
      <c r="N17" s="3">
        <v>6661.8</v>
      </c>
      <c r="O17" s="3">
        <v>6821.1</v>
      </c>
      <c r="P17" s="3">
        <v>7038.6</v>
      </c>
      <c r="Q17" s="3">
        <v>7038.6</v>
      </c>
      <c r="R17" s="3">
        <v>7038.6</v>
      </c>
      <c r="S17" s="3">
        <v>7038.6</v>
      </c>
      <c r="T17" s="3">
        <v>7038.6</v>
      </c>
      <c r="U17" s="3">
        <v>7038.6</v>
      </c>
      <c r="V17" s="3">
        <v>7038.6</v>
      </c>
      <c r="W17" s="6">
        <v>7038.6</v>
      </c>
      <c r="X17" s="29">
        <v>1344</v>
      </c>
      <c r="Y17" s="3">
        <v>1239</v>
      </c>
      <c r="Z17" s="6">
        <v>254.39</v>
      </c>
    </row>
    <row r="18" spans="1:26" x14ac:dyDescent="0.2">
      <c r="A18" s="7" t="s">
        <v>26</v>
      </c>
      <c r="B18" s="3">
        <v>3550.5</v>
      </c>
      <c r="C18" s="3">
        <v>3886.2</v>
      </c>
      <c r="D18" s="3">
        <v>3989.7</v>
      </c>
      <c r="E18" s="3">
        <v>4060.5</v>
      </c>
      <c r="F18" s="3">
        <v>4290.8999999999996</v>
      </c>
      <c r="G18" s="3">
        <v>4648.8</v>
      </c>
      <c r="H18" s="3">
        <v>4826.1000000000004</v>
      </c>
      <c r="I18" s="3">
        <v>5000.3999999999996</v>
      </c>
      <c r="J18" s="3">
        <v>5214</v>
      </c>
      <c r="K18" s="3">
        <v>5381.1</v>
      </c>
      <c r="L18" s="3">
        <v>5532</v>
      </c>
      <c r="M18" s="3">
        <v>5713.2</v>
      </c>
      <c r="N18" s="3">
        <v>5832</v>
      </c>
      <c r="O18" s="3">
        <v>5926.2</v>
      </c>
      <c r="P18" s="3">
        <v>5926.2</v>
      </c>
      <c r="Q18" s="3">
        <v>5926.2</v>
      </c>
      <c r="R18" s="3">
        <v>5926.2</v>
      </c>
      <c r="S18" s="3">
        <v>5926.2</v>
      </c>
      <c r="T18" s="3">
        <v>5926.2</v>
      </c>
      <c r="U18" s="3">
        <v>5926.2</v>
      </c>
      <c r="V18" s="3">
        <v>5926.2</v>
      </c>
      <c r="W18" s="6">
        <v>5926.2</v>
      </c>
      <c r="X18" s="29">
        <v>1311</v>
      </c>
      <c r="Y18" s="3">
        <v>1221</v>
      </c>
      <c r="Z18" s="6">
        <v>254.39</v>
      </c>
    </row>
    <row r="19" spans="1:26" x14ac:dyDescent="0.2">
      <c r="A19" s="7" t="s">
        <v>27</v>
      </c>
      <c r="B19" s="3">
        <v>3116.4</v>
      </c>
      <c r="C19" s="3">
        <v>3452.1</v>
      </c>
      <c r="D19" s="3">
        <v>3542.1</v>
      </c>
      <c r="E19" s="3">
        <v>3732.6</v>
      </c>
      <c r="F19" s="3">
        <v>3957.9</v>
      </c>
      <c r="G19" s="3">
        <v>4290.3</v>
      </c>
      <c r="H19" s="3">
        <v>4445.1000000000004</v>
      </c>
      <c r="I19" s="3">
        <v>4662</v>
      </c>
      <c r="J19" s="3">
        <v>4875.3</v>
      </c>
      <c r="K19" s="3">
        <v>5043.3</v>
      </c>
      <c r="L19" s="3">
        <v>5197.5</v>
      </c>
      <c r="M19" s="3">
        <v>5385.3</v>
      </c>
      <c r="N19" s="3">
        <v>5385.3</v>
      </c>
      <c r="O19" s="3">
        <v>5385.3</v>
      </c>
      <c r="P19" s="3">
        <v>5385.3</v>
      </c>
      <c r="Q19" s="3">
        <v>5385.3</v>
      </c>
      <c r="R19" s="3">
        <v>5385.3</v>
      </c>
      <c r="S19" s="3">
        <v>5385.3</v>
      </c>
      <c r="T19" s="3">
        <v>5385.3</v>
      </c>
      <c r="U19" s="3">
        <v>5385.3</v>
      </c>
      <c r="V19" s="3">
        <v>5385.3</v>
      </c>
      <c r="W19" s="6">
        <v>5385.3</v>
      </c>
      <c r="X19" s="29">
        <v>1290</v>
      </c>
      <c r="Y19" s="3">
        <v>1209</v>
      </c>
      <c r="Z19" s="6">
        <v>254.39</v>
      </c>
    </row>
    <row r="20" spans="1:26" x14ac:dyDescent="0.2">
      <c r="A20" s="7" t="s">
        <v>28</v>
      </c>
      <c r="B20" s="4"/>
      <c r="C20" s="4"/>
      <c r="D20" s="3"/>
      <c r="E20" s="4"/>
      <c r="F20" s="4"/>
      <c r="G20" s="4"/>
      <c r="H20" s="3">
        <v>5308.2</v>
      </c>
      <c r="I20" s="3">
        <v>5428.5</v>
      </c>
      <c r="J20" s="3">
        <v>5580.3</v>
      </c>
      <c r="K20" s="3">
        <v>5758.2</v>
      </c>
      <c r="L20" s="3">
        <v>5938.8</v>
      </c>
      <c r="M20" s="3">
        <v>6226.5</v>
      </c>
      <c r="N20" s="3">
        <v>6470.7</v>
      </c>
      <c r="O20" s="3">
        <v>6726.6</v>
      </c>
      <c r="P20" s="3">
        <v>7119.3</v>
      </c>
      <c r="Q20" s="3">
        <v>7119.3</v>
      </c>
      <c r="R20" s="3">
        <v>7474.8</v>
      </c>
      <c r="S20" s="3">
        <v>7474.8</v>
      </c>
      <c r="T20" s="3">
        <v>7848.9</v>
      </c>
      <c r="U20" s="3">
        <v>7848.9</v>
      </c>
      <c r="V20" s="3">
        <v>8241.9</v>
      </c>
      <c r="W20" s="6">
        <v>8241.9</v>
      </c>
      <c r="X20" s="29">
        <v>1395</v>
      </c>
      <c r="Y20" s="3">
        <v>1233</v>
      </c>
      <c r="Z20" s="6">
        <v>369.39</v>
      </c>
    </row>
    <row r="21" spans="1:26" x14ac:dyDescent="0.2">
      <c r="A21" s="7" t="s">
        <v>29</v>
      </c>
      <c r="B21" s="4"/>
      <c r="C21" s="4"/>
      <c r="D21" s="4"/>
      <c r="E21" s="4"/>
      <c r="F21" s="4"/>
      <c r="G21" s="3">
        <v>4345.5</v>
      </c>
      <c r="H21" s="3">
        <v>4537.5</v>
      </c>
      <c r="I21" s="3">
        <v>4656.6000000000004</v>
      </c>
      <c r="J21" s="3">
        <v>4798.8</v>
      </c>
      <c r="K21" s="3">
        <v>4953.6000000000004</v>
      </c>
      <c r="L21" s="3">
        <v>5232.3</v>
      </c>
      <c r="M21" s="3">
        <v>5373.6</v>
      </c>
      <c r="N21" s="3">
        <v>5613.9</v>
      </c>
      <c r="O21" s="3">
        <v>5747.4</v>
      </c>
      <c r="P21" s="3">
        <v>6075.6</v>
      </c>
      <c r="Q21" s="3">
        <v>6075.6</v>
      </c>
      <c r="R21" s="3">
        <v>6197.7</v>
      </c>
      <c r="S21" s="3">
        <v>6197.7</v>
      </c>
      <c r="T21" s="3">
        <v>6197.7</v>
      </c>
      <c r="U21" s="3">
        <v>6197.7</v>
      </c>
      <c r="V21" s="3">
        <v>6197.7</v>
      </c>
      <c r="W21" s="6">
        <v>6197.7</v>
      </c>
      <c r="X21" s="29">
        <v>1323</v>
      </c>
      <c r="Y21" s="3">
        <v>1224</v>
      </c>
      <c r="Z21" s="6">
        <v>369.39</v>
      </c>
    </row>
    <row r="22" spans="1:26" x14ac:dyDescent="0.2">
      <c r="A22" s="7" t="s">
        <v>30</v>
      </c>
      <c r="B22" s="3">
        <v>3020.7</v>
      </c>
      <c r="C22" s="3">
        <v>3296.7</v>
      </c>
      <c r="D22" s="3">
        <v>3423.3</v>
      </c>
      <c r="E22" s="3">
        <v>3590.1</v>
      </c>
      <c r="F22" s="3">
        <v>3720.9</v>
      </c>
      <c r="G22" s="3">
        <v>3945</v>
      </c>
      <c r="H22" s="3">
        <v>4071.6</v>
      </c>
      <c r="I22" s="3">
        <v>4295.7</v>
      </c>
      <c r="J22" s="3">
        <v>4482.6000000000004</v>
      </c>
      <c r="K22" s="3">
        <v>4609.8</v>
      </c>
      <c r="L22" s="3">
        <v>4745.3999999999996</v>
      </c>
      <c r="M22" s="3">
        <v>4797.6000000000004</v>
      </c>
      <c r="N22" s="3">
        <v>4974.3</v>
      </c>
      <c r="O22" s="3">
        <v>5068.8</v>
      </c>
      <c r="P22" s="3">
        <v>5429.1</v>
      </c>
      <c r="Q22" s="3">
        <v>5429.1</v>
      </c>
      <c r="R22" s="3">
        <v>5429.1</v>
      </c>
      <c r="S22" s="3">
        <v>5429.1</v>
      </c>
      <c r="T22" s="3">
        <v>5429.1</v>
      </c>
      <c r="U22" s="3">
        <v>5429.1</v>
      </c>
      <c r="V22" s="3">
        <v>5429.1</v>
      </c>
      <c r="W22" s="6">
        <v>5429.1</v>
      </c>
      <c r="X22" s="29">
        <v>1299</v>
      </c>
      <c r="Y22" s="3">
        <v>1212</v>
      </c>
      <c r="Z22" s="6">
        <v>369.39</v>
      </c>
    </row>
    <row r="23" spans="1:26" x14ac:dyDescent="0.2">
      <c r="A23" s="7" t="s">
        <v>31</v>
      </c>
      <c r="B23" s="3">
        <v>2612.6999999999998</v>
      </c>
      <c r="C23" s="3">
        <v>2875.2</v>
      </c>
      <c r="D23" s="3">
        <v>3002.1</v>
      </c>
      <c r="E23" s="3">
        <v>3125.4</v>
      </c>
      <c r="F23" s="3">
        <v>3254.1</v>
      </c>
      <c r="G23" s="3">
        <v>3543.3</v>
      </c>
      <c r="H23" s="3">
        <v>3656.4</v>
      </c>
      <c r="I23" s="3">
        <v>3874.8</v>
      </c>
      <c r="J23" s="3">
        <v>3941.4</v>
      </c>
      <c r="K23" s="3">
        <v>3990</v>
      </c>
      <c r="L23" s="3">
        <v>4046.7</v>
      </c>
      <c r="M23" s="3">
        <v>4046.7</v>
      </c>
      <c r="N23" s="3">
        <v>4046.7</v>
      </c>
      <c r="O23" s="3">
        <v>4046.7</v>
      </c>
      <c r="P23" s="3">
        <v>4046.7</v>
      </c>
      <c r="Q23" s="3">
        <v>4046.7</v>
      </c>
      <c r="R23" s="3">
        <v>4046.7</v>
      </c>
      <c r="S23" s="3">
        <v>4046.7</v>
      </c>
      <c r="T23" s="3">
        <v>4046.7</v>
      </c>
      <c r="U23" s="3">
        <v>4046.7</v>
      </c>
      <c r="V23" s="3">
        <v>4046.7</v>
      </c>
      <c r="W23" s="6">
        <v>4046.7</v>
      </c>
      <c r="X23" s="29">
        <v>1281</v>
      </c>
      <c r="Y23" s="3">
        <v>1197</v>
      </c>
      <c r="Z23" s="6">
        <v>369.39</v>
      </c>
    </row>
    <row r="24" spans="1:26" x14ac:dyDescent="0.2">
      <c r="A24" s="7" t="s">
        <v>32</v>
      </c>
      <c r="B24" s="3">
        <v>2393.4</v>
      </c>
      <c r="C24" s="3">
        <v>2554.8000000000002</v>
      </c>
      <c r="D24" s="3">
        <v>2678.1</v>
      </c>
      <c r="E24" s="3">
        <v>2804.4</v>
      </c>
      <c r="F24" s="3">
        <v>3001.5</v>
      </c>
      <c r="G24" s="3">
        <v>3207</v>
      </c>
      <c r="H24" s="3">
        <v>3376.2</v>
      </c>
      <c r="I24" s="3">
        <v>3396.6</v>
      </c>
      <c r="J24" s="3">
        <v>3396.6</v>
      </c>
      <c r="K24" s="3">
        <v>3396.6</v>
      </c>
      <c r="L24" s="3">
        <v>3396.6</v>
      </c>
      <c r="M24" s="3">
        <v>3396.6</v>
      </c>
      <c r="N24" s="3">
        <v>3396.6</v>
      </c>
      <c r="O24" s="3">
        <v>3396.6</v>
      </c>
      <c r="P24" s="3">
        <v>3396.6</v>
      </c>
      <c r="Q24" s="3">
        <v>3396.6</v>
      </c>
      <c r="R24" s="3">
        <v>3396.6</v>
      </c>
      <c r="S24" s="3">
        <v>3396.6</v>
      </c>
      <c r="T24" s="3">
        <v>3396.6</v>
      </c>
      <c r="U24" s="3">
        <v>3396.6</v>
      </c>
      <c r="V24" s="3">
        <v>3396.6</v>
      </c>
      <c r="W24" s="6">
        <v>3396.6</v>
      </c>
      <c r="X24" s="29">
        <v>1200</v>
      </c>
      <c r="Y24" s="3">
        <v>1116</v>
      </c>
      <c r="Z24" s="6">
        <v>369.39</v>
      </c>
    </row>
    <row r="25" spans="1:26" x14ac:dyDescent="0.2">
      <c r="A25" s="7" t="s">
        <v>33</v>
      </c>
      <c r="B25" s="3">
        <v>2194.5</v>
      </c>
      <c r="C25" s="3">
        <v>2307</v>
      </c>
      <c r="D25" s="3">
        <v>2431.8000000000002</v>
      </c>
      <c r="E25" s="3">
        <v>2555.4</v>
      </c>
      <c r="F25" s="3">
        <v>2664</v>
      </c>
      <c r="G25" s="3">
        <v>2664</v>
      </c>
      <c r="H25" s="3">
        <v>2664</v>
      </c>
      <c r="I25" s="3">
        <v>2664</v>
      </c>
      <c r="J25" s="3">
        <v>2664</v>
      </c>
      <c r="K25" s="3">
        <v>2664</v>
      </c>
      <c r="L25" s="3">
        <v>2664</v>
      </c>
      <c r="M25" s="3">
        <v>2664</v>
      </c>
      <c r="N25" s="3">
        <v>2664</v>
      </c>
      <c r="O25" s="3">
        <v>2664</v>
      </c>
      <c r="P25" s="3">
        <v>2664</v>
      </c>
      <c r="Q25" s="3">
        <v>2664</v>
      </c>
      <c r="R25" s="3">
        <v>2664</v>
      </c>
      <c r="S25" s="3">
        <v>2664</v>
      </c>
      <c r="T25" s="3">
        <v>2664</v>
      </c>
      <c r="U25" s="3">
        <v>2664</v>
      </c>
      <c r="V25" s="3">
        <v>2664</v>
      </c>
      <c r="W25" s="6">
        <v>2664</v>
      </c>
      <c r="X25" s="29">
        <v>1197</v>
      </c>
      <c r="Y25" s="3">
        <v>984</v>
      </c>
      <c r="Z25" s="6">
        <v>369.39</v>
      </c>
    </row>
    <row r="26" spans="1:26" x14ac:dyDescent="0.2">
      <c r="A26" s="7" t="s">
        <v>34</v>
      </c>
      <c r="B26" s="3">
        <v>1981.2</v>
      </c>
      <c r="C26" s="3">
        <v>2105.6999999999998</v>
      </c>
      <c r="D26" s="3">
        <v>2233.5</v>
      </c>
      <c r="E26" s="3">
        <v>2233.5</v>
      </c>
      <c r="F26" s="3">
        <v>2233.5</v>
      </c>
      <c r="G26" s="3">
        <v>2233.5</v>
      </c>
      <c r="H26" s="3">
        <v>2233.5</v>
      </c>
      <c r="I26" s="3">
        <v>2233.5</v>
      </c>
      <c r="J26" s="3">
        <v>2233.5</v>
      </c>
      <c r="K26" s="3">
        <v>2233.5</v>
      </c>
      <c r="L26" s="3">
        <v>2233.5</v>
      </c>
      <c r="M26" s="3">
        <v>2233.5</v>
      </c>
      <c r="N26" s="3">
        <v>2233.5</v>
      </c>
      <c r="O26" s="3">
        <v>2233.5</v>
      </c>
      <c r="P26" s="3">
        <v>2233.5</v>
      </c>
      <c r="Q26" s="3">
        <v>2233.5</v>
      </c>
      <c r="R26" s="3">
        <v>2233.5</v>
      </c>
      <c r="S26" s="3">
        <v>2233.5</v>
      </c>
      <c r="T26" s="3">
        <v>2233.5</v>
      </c>
      <c r="U26" s="3">
        <v>2233.5</v>
      </c>
      <c r="V26" s="3">
        <v>2233.5</v>
      </c>
      <c r="W26" s="6">
        <v>2233.5</v>
      </c>
      <c r="X26" s="29">
        <v>1197</v>
      </c>
      <c r="Y26" s="3">
        <v>984</v>
      </c>
      <c r="Z26" s="6">
        <v>369.39</v>
      </c>
    </row>
    <row r="27" spans="1:26" x14ac:dyDescent="0.2">
      <c r="A27" s="7" t="s">
        <v>35</v>
      </c>
      <c r="B27" s="3">
        <v>1884</v>
      </c>
      <c r="C27" s="3">
        <v>1884</v>
      </c>
      <c r="D27" s="3">
        <v>1884</v>
      </c>
      <c r="E27" s="3">
        <v>1884</v>
      </c>
      <c r="F27" s="3">
        <v>1884</v>
      </c>
      <c r="G27" s="3">
        <v>1884</v>
      </c>
      <c r="H27" s="3">
        <v>1884</v>
      </c>
      <c r="I27" s="3">
        <v>1884</v>
      </c>
      <c r="J27" s="3">
        <v>1884</v>
      </c>
      <c r="K27" s="3">
        <v>1884</v>
      </c>
      <c r="L27" s="3">
        <v>1884</v>
      </c>
      <c r="M27" s="3">
        <v>1884</v>
      </c>
      <c r="N27" s="3">
        <v>1884</v>
      </c>
      <c r="O27" s="3">
        <v>1884</v>
      </c>
      <c r="P27" s="3">
        <v>1884</v>
      </c>
      <c r="Q27" s="3">
        <v>1884</v>
      </c>
      <c r="R27" s="3">
        <v>1884</v>
      </c>
      <c r="S27" s="3">
        <v>1884</v>
      </c>
      <c r="T27" s="3">
        <v>1884</v>
      </c>
      <c r="U27" s="3">
        <v>1884</v>
      </c>
      <c r="V27" s="3">
        <v>1884</v>
      </c>
      <c r="W27" s="6">
        <v>1884</v>
      </c>
      <c r="X27" s="29">
        <v>1197</v>
      </c>
      <c r="Y27" s="3">
        <v>984</v>
      </c>
      <c r="Z27" s="6">
        <v>369.39</v>
      </c>
    </row>
    <row r="28" spans="1:26" ht="13.5" thickBot="1" x14ac:dyDescent="0.25">
      <c r="A28" s="30" t="s">
        <v>53</v>
      </c>
      <c r="B28" s="31">
        <v>1680.9</v>
      </c>
      <c r="C28" s="31">
        <v>1680.9</v>
      </c>
      <c r="D28" s="31">
        <v>1680.9</v>
      </c>
      <c r="E28" s="31">
        <v>1680.9</v>
      </c>
      <c r="F28" s="31">
        <v>1680.9</v>
      </c>
      <c r="G28" s="31">
        <v>1680.9</v>
      </c>
      <c r="H28" s="31">
        <v>1680.9</v>
      </c>
      <c r="I28" s="31">
        <v>1680.9</v>
      </c>
      <c r="J28" s="31">
        <v>1680.9</v>
      </c>
      <c r="K28" s="31">
        <v>1680.9</v>
      </c>
      <c r="L28" s="31">
        <v>1680.9</v>
      </c>
      <c r="M28" s="31">
        <v>1680.9</v>
      </c>
      <c r="N28" s="31">
        <v>1680.9</v>
      </c>
      <c r="O28" s="31">
        <v>1680.9</v>
      </c>
      <c r="P28" s="31">
        <v>1680.9</v>
      </c>
      <c r="Q28" s="31">
        <v>1680.9</v>
      </c>
      <c r="R28" s="31">
        <v>1680.9</v>
      </c>
      <c r="S28" s="31">
        <v>1680.9</v>
      </c>
      <c r="T28" s="31">
        <v>1680.9</v>
      </c>
      <c r="U28" s="31">
        <v>1680.9</v>
      </c>
      <c r="V28" s="31">
        <v>1680.9</v>
      </c>
      <c r="W28" s="32">
        <v>1680.9</v>
      </c>
      <c r="X28" s="33">
        <v>1197</v>
      </c>
      <c r="Y28" s="31">
        <v>984</v>
      </c>
      <c r="Z28" s="32">
        <v>369.39</v>
      </c>
    </row>
    <row r="31" spans="1:26" x14ac:dyDescent="0.2">
      <c r="A31" s="1"/>
      <c r="B31" s="23"/>
      <c r="C31" s="1"/>
      <c r="D31" s="23"/>
      <c r="E31" s="21"/>
      <c r="I31" s="25"/>
      <c r="J31" s="25"/>
      <c r="K31" s="25"/>
      <c r="L31" s="25"/>
      <c r="M31" s="25"/>
      <c r="N31" s="25"/>
      <c r="O31" s="25"/>
      <c r="P31" s="25"/>
      <c r="Q31" s="25"/>
      <c r="R31" s="25"/>
      <c r="S31" s="25"/>
      <c r="T31" s="25"/>
      <c r="U31" s="25"/>
      <c r="V31" s="25"/>
      <c r="W31" s="25"/>
      <c r="Y31" s="25"/>
    </row>
    <row r="32" spans="1:26" x14ac:dyDescent="0.2">
      <c r="A32" s="17"/>
      <c r="B32" s="23"/>
      <c r="C32" s="26"/>
      <c r="D32" s="26"/>
      <c r="E32" s="21"/>
      <c r="F32" s="25"/>
      <c r="G32" s="25"/>
      <c r="H32" s="25"/>
      <c r="I32" s="25"/>
      <c r="J32" s="25"/>
      <c r="K32" s="25"/>
      <c r="L32" s="25"/>
      <c r="M32" s="25"/>
      <c r="N32" s="25"/>
      <c r="O32" s="25"/>
      <c r="P32" s="25"/>
      <c r="Q32" s="25"/>
      <c r="R32" s="25"/>
      <c r="S32" s="25"/>
      <c r="T32" s="25"/>
      <c r="U32" s="25"/>
      <c r="V32" s="25"/>
      <c r="W32" s="25"/>
      <c r="Y32" s="25"/>
    </row>
    <row r="33" spans="1:25" x14ac:dyDescent="0.2">
      <c r="A33" s="17"/>
      <c r="B33" s="23"/>
      <c r="C33" s="26"/>
      <c r="D33" s="26"/>
      <c r="E33" s="21"/>
      <c r="F33" s="25"/>
      <c r="G33" s="25"/>
      <c r="H33" s="25"/>
      <c r="I33" s="25"/>
      <c r="J33" s="25"/>
      <c r="K33" s="25"/>
      <c r="L33" s="25"/>
      <c r="M33" s="25"/>
      <c r="N33" s="25"/>
      <c r="O33" s="25"/>
      <c r="P33" s="25"/>
      <c r="Q33" s="25"/>
      <c r="R33" s="25"/>
      <c r="S33" s="25"/>
      <c r="T33" s="25"/>
      <c r="U33" s="25"/>
      <c r="V33" s="25"/>
      <c r="W33" s="25"/>
      <c r="Y33" s="25"/>
    </row>
    <row r="34" spans="1:25" x14ac:dyDescent="0.2">
      <c r="A34" s="17"/>
      <c r="B34" s="23"/>
      <c r="C34" s="26"/>
      <c r="D34" s="26"/>
      <c r="E34" s="21"/>
      <c r="F34" s="25"/>
      <c r="G34" s="25"/>
      <c r="H34" s="25"/>
      <c r="I34" s="25"/>
      <c r="J34" s="25"/>
      <c r="K34" s="25"/>
      <c r="L34" s="25"/>
      <c r="M34" s="25"/>
      <c r="N34" s="25"/>
      <c r="O34" s="25"/>
      <c r="P34" s="25"/>
      <c r="Q34" s="25"/>
      <c r="R34" s="25"/>
      <c r="S34" s="25"/>
      <c r="T34" s="25"/>
      <c r="U34" s="25"/>
      <c r="V34" s="25"/>
      <c r="W34" s="25"/>
      <c r="Y34" s="25"/>
    </row>
    <row r="35" spans="1:25" x14ac:dyDescent="0.2">
      <c r="C35" s="25"/>
      <c r="D35" s="25"/>
      <c r="E35" s="21"/>
      <c r="F35" s="25"/>
      <c r="G35" s="25"/>
      <c r="H35" s="25"/>
      <c r="I35" s="25"/>
      <c r="J35" s="25"/>
      <c r="K35" s="25"/>
      <c r="L35" s="25"/>
      <c r="M35" s="25"/>
      <c r="N35" s="25"/>
      <c r="O35" s="25"/>
      <c r="P35" s="25"/>
      <c r="Q35" s="25"/>
      <c r="R35" s="25"/>
      <c r="S35" s="25"/>
      <c r="T35" s="25"/>
      <c r="U35" s="25"/>
      <c r="V35" s="25"/>
      <c r="W35" s="25"/>
      <c r="Y35" s="25"/>
    </row>
    <row r="36" spans="1:25" x14ac:dyDescent="0.2">
      <c r="C36" s="25"/>
      <c r="D36" s="25"/>
      <c r="E36" s="21"/>
      <c r="F36" s="25"/>
      <c r="G36" s="25"/>
      <c r="H36" s="25"/>
      <c r="I36" s="25"/>
      <c r="J36" s="25"/>
      <c r="K36" s="25"/>
      <c r="L36" s="25"/>
      <c r="M36" s="25"/>
      <c r="N36" s="25"/>
      <c r="O36" s="25"/>
      <c r="P36" s="25"/>
      <c r="Q36" s="25"/>
      <c r="R36" s="25"/>
      <c r="S36" s="25"/>
      <c r="T36" s="25"/>
      <c r="U36" s="25"/>
      <c r="V36" s="25"/>
      <c r="W36" s="25"/>
      <c r="Y36" s="25"/>
    </row>
    <row r="37" spans="1:25" x14ac:dyDescent="0.2">
      <c r="C37" s="25"/>
      <c r="D37" s="25"/>
      <c r="E37" s="21"/>
      <c r="F37" s="25"/>
      <c r="G37" s="25"/>
      <c r="H37" s="25"/>
      <c r="I37" s="25"/>
      <c r="J37" s="25"/>
      <c r="K37" s="25"/>
      <c r="L37" s="25"/>
      <c r="M37" s="25"/>
      <c r="N37" s="25"/>
      <c r="O37" s="25"/>
      <c r="P37" s="25"/>
      <c r="Q37" s="25"/>
      <c r="R37" s="25"/>
      <c r="S37" s="25"/>
      <c r="T37" s="25"/>
      <c r="U37" s="25"/>
      <c r="V37" s="25"/>
      <c r="W37" s="25"/>
      <c r="Y37" s="25"/>
    </row>
    <row r="38" spans="1:25" x14ac:dyDescent="0.2">
      <c r="C38" s="25"/>
      <c r="D38" s="25"/>
      <c r="E38" s="21"/>
      <c r="F38" s="25"/>
      <c r="G38" s="25"/>
      <c r="H38" s="25"/>
      <c r="I38" s="25"/>
      <c r="J38" s="25"/>
      <c r="K38" s="25"/>
      <c r="L38" s="25"/>
      <c r="M38" s="25"/>
      <c r="N38" s="25"/>
      <c r="O38" s="25"/>
      <c r="P38" s="25"/>
      <c r="Q38" s="25"/>
      <c r="R38" s="25"/>
      <c r="S38" s="25"/>
      <c r="T38" s="25"/>
      <c r="U38" s="25"/>
      <c r="V38" s="25"/>
      <c r="W38" s="25"/>
      <c r="Y38" s="25"/>
    </row>
    <row r="39" spans="1:25" x14ac:dyDescent="0.2">
      <c r="C39" s="25"/>
      <c r="D39" s="25"/>
      <c r="E39" s="21"/>
      <c r="F39" s="25"/>
      <c r="G39" s="25"/>
      <c r="H39" s="25"/>
      <c r="I39" s="25"/>
      <c r="J39" s="25"/>
      <c r="K39" s="25"/>
      <c r="L39" s="25"/>
      <c r="M39" s="25"/>
      <c r="N39" s="25"/>
      <c r="O39" s="25"/>
      <c r="P39" s="25"/>
      <c r="Q39" s="25"/>
      <c r="R39" s="25"/>
      <c r="S39" s="25"/>
      <c r="T39" s="25"/>
      <c r="U39" s="25"/>
      <c r="V39" s="25"/>
      <c r="W39" s="25"/>
      <c r="Y39" s="25"/>
    </row>
    <row r="40" spans="1:25" x14ac:dyDescent="0.2">
      <c r="C40" s="25"/>
      <c r="D40" s="25"/>
      <c r="E40" s="21"/>
      <c r="F40" s="25"/>
      <c r="G40" s="25"/>
      <c r="H40" s="25"/>
      <c r="I40" s="25"/>
      <c r="J40" s="25"/>
      <c r="K40" s="25"/>
      <c r="L40" s="25"/>
      <c r="M40" s="25"/>
      <c r="N40" s="25"/>
      <c r="O40" s="25"/>
      <c r="P40" s="25"/>
      <c r="Q40" s="25"/>
      <c r="R40" s="25"/>
      <c r="S40" s="25"/>
      <c r="T40" s="25"/>
      <c r="U40" s="25"/>
      <c r="V40" s="25"/>
      <c r="W40" s="25"/>
      <c r="Y40" s="25"/>
    </row>
    <row r="41" spans="1:25" x14ac:dyDescent="0.2">
      <c r="E41" s="21"/>
    </row>
    <row r="42" spans="1:25" x14ac:dyDescent="0.2">
      <c r="E42" s="21"/>
    </row>
    <row r="43" spans="1:25" x14ac:dyDescent="0.2">
      <c r="E43" s="21"/>
    </row>
    <row r="44" spans="1:25" x14ac:dyDescent="0.2">
      <c r="E44" s="21"/>
    </row>
    <row r="45" spans="1:25" x14ac:dyDescent="0.2">
      <c r="E45" s="21"/>
    </row>
    <row r="46" spans="1:25" x14ac:dyDescent="0.2">
      <c r="E46" s="21"/>
    </row>
    <row r="47" spans="1:25" x14ac:dyDescent="0.2">
      <c r="E47" s="21"/>
    </row>
    <row r="48" spans="1:25" x14ac:dyDescent="0.2">
      <c r="E48" s="21"/>
    </row>
    <row r="49" spans="5:5" x14ac:dyDescent="0.2">
      <c r="E49" s="21"/>
    </row>
    <row r="50" spans="5:5" x14ac:dyDescent="0.2">
      <c r="E50" s="21"/>
    </row>
    <row r="51" spans="5:5" x14ac:dyDescent="0.2">
      <c r="E51" s="21"/>
    </row>
    <row r="52" spans="5:5" x14ac:dyDescent="0.2">
      <c r="E52" s="21"/>
    </row>
    <row r="53" spans="5:5" x14ac:dyDescent="0.2">
      <c r="E53" s="21"/>
    </row>
    <row r="54" spans="5:5" x14ac:dyDescent="0.2">
      <c r="E54" s="21"/>
    </row>
    <row r="55" spans="5:5" x14ac:dyDescent="0.2">
      <c r="E55" s="21"/>
    </row>
    <row r="56" spans="5:5" x14ac:dyDescent="0.2">
      <c r="E56" s="21"/>
    </row>
    <row r="57" spans="5:5" x14ac:dyDescent="0.2">
      <c r="E57" s="21"/>
    </row>
    <row r="58" spans="5:5" x14ac:dyDescent="0.2">
      <c r="E58" s="21"/>
    </row>
    <row r="59" spans="5:5" x14ac:dyDescent="0.2">
      <c r="E59" s="21"/>
    </row>
    <row r="60" spans="5:5" x14ac:dyDescent="0.2">
      <c r="E60" s="2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36"/>
  <sheetViews>
    <sheetView workbookViewId="0">
      <selection activeCell="E16" sqref="E16"/>
    </sheetView>
  </sheetViews>
  <sheetFormatPr defaultColWidth="13" defaultRowHeight="12.75" x14ac:dyDescent="0.2"/>
  <cols>
    <col min="1" max="16384" width="13" style="18"/>
  </cols>
  <sheetData>
    <row r="1" spans="1:2" ht="18" x14ac:dyDescent="0.25">
      <c r="A1" s="19" t="s">
        <v>55</v>
      </c>
    </row>
    <row r="3" spans="1:2" x14ac:dyDescent="0.2">
      <c r="A3" s="20" t="s">
        <v>69</v>
      </c>
    </row>
    <row r="5" spans="1:2" x14ac:dyDescent="0.2">
      <c r="A5" s="22" t="s">
        <v>68</v>
      </c>
    </row>
    <row r="7" spans="1:2" x14ac:dyDescent="0.2">
      <c r="A7" s="20" t="s">
        <v>66</v>
      </c>
    </row>
    <row r="8" spans="1:2" x14ac:dyDescent="0.2">
      <c r="A8" s="20"/>
    </row>
    <row r="9" spans="1:2" x14ac:dyDescent="0.2">
      <c r="A9" s="20" t="s">
        <v>64</v>
      </c>
    </row>
    <row r="10" spans="1:2" x14ac:dyDescent="0.2">
      <c r="A10" s="20"/>
    </row>
    <row r="11" spans="1:2" x14ac:dyDescent="0.2">
      <c r="A11" s="20" t="s">
        <v>67</v>
      </c>
    </row>
    <row r="13" spans="1:2" x14ac:dyDescent="0.2">
      <c r="A13" s="20" t="s">
        <v>70</v>
      </c>
    </row>
    <row r="15" spans="1:2" x14ac:dyDescent="0.2">
      <c r="A15" s="18" t="s">
        <v>56</v>
      </c>
    </row>
    <row r="16" spans="1:2" x14ac:dyDescent="0.2">
      <c r="B16" s="18" t="s">
        <v>59</v>
      </c>
    </row>
    <row r="17" spans="1:5" x14ac:dyDescent="0.2">
      <c r="B17" s="18" t="s">
        <v>57</v>
      </c>
    </row>
    <row r="18" spans="1:5" x14ac:dyDescent="0.2">
      <c r="B18" s="18" t="s">
        <v>58</v>
      </c>
    </row>
    <row r="19" spans="1:5" x14ac:dyDescent="0.2">
      <c r="B19" s="18" t="s">
        <v>72</v>
      </c>
    </row>
    <row r="20" spans="1:5" x14ac:dyDescent="0.2">
      <c r="B20" s="18" t="s">
        <v>73</v>
      </c>
    </row>
    <row r="21" spans="1:5" x14ac:dyDescent="0.2">
      <c r="B21" s="18" t="s">
        <v>75</v>
      </c>
    </row>
    <row r="22" spans="1:5" x14ac:dyDescent="0.2">
      <c r="B22" s="18" t="s">
        <v>74</v>
      </c>
    </row>
    <row r="24" spans="1:5" x14ac:dyDescent="0.2">
      <c r="A24" s="18" t="s">
        <v>60</v>
      </c>
    </row>
    <row r="26" spans="1:5" x14ac:dyDescent="0.2">
      <c r="A26" s="18" t="s">
        <v>61</v>
      </c>
    </row>
    <row r="28" spans="1:5" x14ac:dyDescent="0.2">
      <c r="A28" s="18" t="s">
        <v>62</v>
      </c>
    </row>
    <row r="30" spans="1:5" x14ac:dyDescent="0.2">
      <c r="A30" s="18" t="s">
        <v>63</v>
      </c>
    </row>
    <row r="32" spans="1:5" ht="15" x14ac:dyDescent="0.25">
      <c r="A32" s="39" t="s">
        <v>65</v>
      </c>
      <c r="B32" s="39"/>
      <c r="C32" s="39"/>
      <c r="D32" s="39"/>
      <c r="E32" s="39"/>
    </row>
    <row r="33" spans="1:8" x14ac:dyDescent="0.2">
      <c r="A33" s="40" t="s">
        <v>71</v>
      </c>
      <c r="B33" s="40"/>
      <c r="C33" s="40"/>
      <c r="D33" s="40"/>
      <c r="E33" s="40"/>
    </row>
    <row r="34" spans="1:8" x14ac:dyDescent="0.2">
      <c r="A34" s="24" t="s">
        <v>76</v>
      </c>
      <c r="B34" s="24" t="s">
        <v>77</v>
      </c>
      <c r="C34" s="24" t="s">
        <v>78</v>
      </c>
      <c r="D34" s="24" t="s">
        <v>79</v>
      </c>
      <c r="E34" s="24" t="s">
        <v>80</v>
      </c>
      <c r="F34" s="24" t="s">
        <v>81</v>
      </c>
      <c r="G34" s="24" t="s">
        <v>82</v>
      </c>
      <c r="H34" s="24" t="s">
        <v>83</v>
      </c>
    </row>
    <row r="35" spans="1:8" x14ac:dyDescent="0.2">
      <c r="A35" s="17" t="s">
        <v>31</v>
      </c>
      <c r="B35" s="17">
        <v>11</v>
      </c>
      <c r="C35" s="17" t="s">
        <v>54</v>
      </c>
      <c r="D35" s="23" t="s">
        <v>52</v>
      </c>
      <c r="E35" s="23" t="s">
        <v>54</v>
      </c>
      <c r="F35" s="23" t="s">
        <v>54</v>
      </c>
      <c r="G35" s="23" t="s">
        <v>54</v>
      </c>
      <c r="H35" s="18" t="str">
        <f>DEPLOYEDRATE(A35,B35,C35,D35,E35,F35,G35)</f>
        <v>$192.05</v>
      </c>
    </row>
    <row r="36" spans="1:8" x14ac:dyDescent="0.2">
      <c r="A36" s="17" t="s">
        <v>32</v>
      </c>
      <c r="B36" s="17">
        <v>11</v>
      </c>
      <c r="C36" s="17" t="s">
        <v>54</v>
      </c>
      <c r="D36" s="23" t="s">
        <v>52</v>
      </c>
      <c r="E36" s="23" t="s">
        <v>54</v>
      </c>
      <c r="F36" s="23" t="s">
        <v>54</v>
      </c>
      <c r="G36" s="23" t="s">
        <v>54</v>
      </c>
      <c r="H36" s="18" t="str">
        <f>DEPLOYEDRATE(A36,B36,C36,D36,E36,F36,G36)</f>
        <v>$180.01</v>
      </c>
    </row>
  </sheetData>
  <mergeCells count="2">
    <mergeCell ref="A32:E32"/>
    <mergeCell ref="A33:E33"/>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C22"/>
  <sheetViews>
    <sheetView tabSelected="1" zoomScale="175" zoomScaleNormal="175" workbookViewId="0">
      <selection activeCell="B12" sqref="B12:C13"/>
    </sheetView>
  </sheetViews>
  <sheetFormatPr defaultColWidth="0" defaultRowHeight="12.75" zeroHeight="1" x14ac:dyDescent="0.2"/>
  <cols>
    <col min="1" max="13" width="9.140625" style="37" customWidth="1"/>
    <col min="14" max="16383" width="9.140625" style="37" hidden="1"/>
    <col min="16384" max="16384" width="1" style="37" hidden="1"/>
  </cols>
  <sheetData>
    <row r="1" spans="1:14" x14ac:dyDescent="0.2">
      <c r="A1" s="34"/>
      <c r="B1" s="56" t="s">
        <v>84</v>
      </c>
      <c r="C1" s="57"/>
      <c r="D1" s="57"/>
      <c r="E1" s="57"/>
      <c r="F1" s="57"/>
      <c r="G1" s="57"/>
      <c r="H1" s="57"/>
      <c r="I1" s="57"/>
      <c r="J1" s="57"/>
      <c r="K1" s="57"/>
      <c r="L1" s="58"/>
      <c r="M1" s="35"/>
      <c r="N1" s="36"/>
    </row>
    <row r="2" spans="1:14" x14ac:dyDescent="0.2">
      <c r="A2" s="34"/>
      <c r="B2" s="59"/>
      <c r="C2" s="60"/>
      <c r="D2" s="60"/>
      <c r="E2" s="60"/>
      <c r="F2" s="60"/>
      <c r="G2" s="60"/>
      <c r="H2" s="60"/>
      <c r="I2" s="60"/>
      <c r="J2" s="60"/>
      <c r="K2" s="60"/>
      <c r="L2" s="61"/>
      <c r="M2" s="35"/>
      <c r="N2" s="36"/>
    </row>
    <row r="3" spans="1:14" ht="13.5" thickBot="1" x14ac:dyDescent="0.25">
      <c r="A3" s="34"/>
      <c r="B3" s="62"/>
      <c r="C3" s="63"/>
      <c r="D3" s="63"/>
      <c r="E3" s="63"/>
      <c r="F3" s="63"/>
      <c r="G3" s="63"/>
      <c r="H3" s="63"/>
      <c r="I3" s="63"/>
      <c r="J3" s="63"/>
      <c r="K3" s="63"/>
      <c r="L3" s="64"/>
      <c r="M3" s="35"/>
      <c r="N3" s="36"/>
    </row>
    <row r="4" spans="1:14" ht="13.5" thickBot="1" x14ac:dyDescent="0.25">
      <c r="A4" s="34"/>
      <c r="B4" s="34"/>
      <c r="C4" s="34"/>
      <c r="D4" s="34"/>
      <c r="E4" s="34"/>
      <c r="F4" s="34"/>
      <c r="G4" s="34"/>
      <c r="H4" s="34"/>
      <c r="I4" s="34"/>
      <c r="J4" s="34"/>
      <c r="K4" s="34"/>
      <c r="L4" s="34"/>
      <c r="M4" s="34"/>
    </row>
    <row r="5" spans="1:14" x14ac:dyDescent="0.2">
      <c r="A5" s="34"/>
      <c r="B5" s="35"/>
      <c r="C5" s="45" t="s">
        <v>86</v>
      </c>
      <c r="D5" s="46"/>
      <c r="E5" s="35"/>
      <c r="F5" s="45" t="s">
        <v>85</v>
      </c>
      <c r="G5" s="46"/>
      <c r="H5" s="34"/>
      <c r="I5" s="45" t="s">
        <v>90</v>
      </c>
      <c r="J5" s="46"/>
      <c r="K5" s="34"/>
      <c r="L5" s="35"/>
      <c r="M5" s="35"/>
    </row>
    <row r="6" spans="1:14" x14ac:dyDescent="0.2">
      <c r="A6" s="34"/>
      <c r="B6" s="35"/>
      <c r="C6" s="47"/>
      <c r="D6" s="48"/>
      <c r="E6" s="35"/>
      <c r="F6" s="47"/>
      <c r="G6" s="48"/>
      <c r="H6" s="34"/>
      <c r="I6" s="47"/>
      <c r="J6" s="48"/>
      <c r="K6" s="34"/>
      <c r="L6" s="35"/>
      <c r="M6" s="35"/>
    </row>
    <row r="7" spans="1:14" x14ac:dyDescent="0.2">
      <c r="A7" s="34"/>
      <c r="B7" s="35"/>
      <c r="C7" s="41" t="s">
        <v>31</v>
      </c>
      <c r="D7" s="42"/>
      <c r="E7" s="35"/>
      <c r="F7" s="49">
        <v>12</v>
      </c>
      <c r="G7" s="42"/>
      <c r="H7" s="34"/>
      <c r="I7" s="41" t="s">
        <v>54</v>
      </c>
      <c r="J7" s="42"/>
      <c r="K7" s="34"/>
      <c r="L7" s="35"/>
      <c r="M7" s="35"/>
    </row>
    <row r="8" spans="1:14" ht="13.5" thickBot="1" x14ac:dyDescent="0.25">
      <c r="A8" s="34"/>
      <c r="B8" s="35"/>
      <c r="C8" s="43"/>
      <c r="D8" s="44"/>
      <c r="E8" s="35"/>
      <c r="F8" s="43"/>
      <c r="G8" s="44"/>
      <c r="H8" s="34"/>
      <c r="I8" s="43"/>
      <c r="J8" s="44"/>
      <c r="K8" s="34"/>
      <c r="L8" s="35"/>
      <c r="M8" s="35"/>
    </row>
    <row r="9" spans="1:14" ht="13.5" thickBot="1" x14ac:dyDescent="0.25">
      <c r="A9" s="34"/>
      <c r="B9" s="34"/>
      <c r="C9" s="34"/>
      <c r="D9" s="34"/>
      <c r="E9" s="34"/>
      <c r="F9" s="34"/>
      <c r="G9" s="34"/>
      <c r="H9" s="34"/>
      <c r="I9" s="34"/>
      <c r="J9" s="34"/>
      <c r="K9" s="34"/>
      <c r="L9" s="34"/>
      <c r="M9" s="34"/>
    </row>
    <row r="10" spans="1:14" x14ac:dyDescent="0.2">
      <c r="A10" s="34"/>
      <c r="B10" s="45" t="s">
        <v>87</v>
      </c>
      <c r="C10" s="46"/>
      <c r="D10" s="34"/>
      <c r="E10" s="45" t="s">
        <v>88</v>
      </c>
      <c r="F10" s="46"/>
      <c r="G10" s="34"/>
      <c r="H10" s="45" t="s">
        <v>89</v>
      </c>
      <c r="I10" s="46"/>
      <c r="J10" s="34"/>
      <c r="K10" s="45" t="s">
        <v>91</v>
      </c>
      <c r="L10" s="46"/>
      <c r="M10" s="34"/>
    </row>
    <row r="11" spans="1:14" x14ac:dyDescent="0.2">
      <c r="A11" s="34"/>
      <c r="B11" s="47"/>
      <c r="C11" s="48"/>
      <c r="D11" s="34"/>
      <c r="E11" s="47"/>
      <c r="F11" s="48"/>
      <c r="G11" s="34"/>
      <c r="H11" s="47"/>
      <c r="I11" s="48"/>
      <c r="J11" s="34"/>
      <c r="K11" s="47"/>
      <c r="L11" s="48"/>
      <c r="M11" s="34"/>
    </row>
    <row r="12" spans="1:14" x14ac:dyDescent="0.2">
      <c r="A12" s="34"/>
      <c r="B12" s="41" t="s">
        <v>52</v>
      </c>
      <c r="C12" s="42"/>
      <c r="D12" s="34"/>
      <c r="E12" s="41" t="s">
        <v>97</v>
      </c>
      <c r="F12" s="42"/>
      <c r="G12" s="34"/>
      <c r="H12" s="41" t="s">
        <v>97</v>
      </c>
      <c r="I12" s="42"/>
      <c r="J12" s="34"/>
      <c r="K12" s="41" t="s">
        <v>97</v>
      </c>
      <c r="L12" s="42"/>
      <c r="M12" s="34"/>
    </row>
    <row r="13" spans="1:14" ht="13.5" thickBot="1" x14ac:dyDescent="0.25">
      <c r="A13" s="34"/>
      <c r="B13" s="43"/>
      <c r="C13" s="44"/>
      <c r="D13" s="34"/>
      <c r="E13" s="43"/>
      <c r="F13" s="44"/>
      <c r="G13" s="34"/>
      <c r="H13" s="43"/>
      <c r="I13" s="44"/>
      <c r="J13" s="34"/>
      <c r="K13" s="43"/>
      <c r="L13" s="44"/>
      <c r="M13" s="34"/>
    </row>
    <row r="14" spans="1:14" x14ac:dyDescent="0.2">
      <c r="A14" s="34"/>
      <c r="B14" s="65" t="s">
        <v>92</v>
      </c>
      <c r="C14" s="66"/>
      <c r="D14" s="34"/>
      <c r="E14" s="65" t="s">
        <v>93</v>
      </c>
      <c r="F14" s="66"/>
      <c r="G14" s="34"/>
      <c r="H14" s="65" t="s">
        <v>94</v>
      </c>
      <c r="I14" s="66"/>
      <c r="J14" s="34"/>
      <c r="K14" s="65" t="s">
        <v>95</v>
      </c>
      <c r="L14" s="66"/>
      <c r="M14" s="34"/>
    </row>
    <row r="15" spans="1:14" ht="13.5" thickBot="1" x14ac:dyDescent="0.25">
      <c r="A15" s="34"/>
      <c r="B15" s="34"/>
      <c r="C15" s="34"/>
      <c r="D15" s="34"/>
      <c r="E15" s="34"/>
      <c r="F15" s="34"/>
      <c r="G15" s="34"/>
      <c r="H15" s="34"/>
      <c r="I15" s="34"/>
      <c r="J15" s="34"/>
      <c r="K15" s="34"/>
      <c r="L15" s="34"/>
      <c r="M15" s="34"/>
    </row>
    <row r="16" spans="1:14" ht="12.75" customHeight="1" x14ac:dyDescent="0.2">
      <c r="A16" s="34"/>
      <c r="B16" s="34"/>
      <c r="C16" s="38"/>
      <c r="D16" s="50" t="s">
        <v>83</v>
      </c>
      <c r="E16" s="51"/>
      <c r="F16" s="34"/>
      <c r="G16" s="34"/>
      <c r="H16" s="35"/>
      <c r="I16" s="50" t="s">
        <v>96</v>
      </c>
      <c r="J16" s="51"/>
      <c r="K16" s="35"/>
      <c r="L16" s="35"/>
      <c r="M16" s="35"/>
    </row>
    <row r="17" spans="1:13" x14ac:dyDescent="0.2">
      <c r="A17" s="34"/>
      <c r="B17" s="34"/>
      <c r="C17" s="35"/>
      <c r="D17" s="52"/>
      <c r="E17" s="53"/>
      <c r="F17" s="34"/>
      <c r="G17" s="34"/>
      <c r="H17" s="35"/>
      <c r="I17" s="52"/>
      <c r="J17" s="53"/>
      <c r="K17" s="35"/>
      <c r="L17" s="35"/>
      <c r="M17" s="35"/>
    </row>
    <row r="18" spans="1:13" x14ac:dyDescent="0.2">
      <c r="A18" s="34"/>
      <c r="B18" s="34"/>
      <c r="C18" s="35"/>
      <c r="D18" s="52" t="str">
        <f>DEPLOYEDRATE(C7,F7,I7,B12,E12,H12,K12)</f>
        <v>$184.17</v>
      </c>
      <c r="E18" s="53"/>
      <c r="F18" s="34"/>
      <c r="G18" s="35"/>
      <c r="H18" s="35"/>
      <c r="I18" s="52">
        <f>DEPLOYEDRATE(C7,F7,I7,B12,E12,H12,K12) * 15</f>
        <v>2762.5499999999997</v>
      </c>
      <c r="J18" s="53"/>
      <c r="K18" s="35"/>
      <c r="L18" s="35"/>
      <c r="M18" s="35"/>
    </row>
    <row r="19" spans="1:13" ht="13.5" thickBot="1" x14ac:dyDescent="0.25">
      <c r="A19" s="34"/>
      <c r="B19" s="34"/>
      <c r="C19" s="35"/>
      <c r="D19" s="54"/>
      <c r="E19" s="55"/>
      <c r="F19" s="34"/>
      <c r="G19" s="35"/>
      <c r="H19" s="35"/>
      <c r="I19" s="54"/>
      <c r="J19" s="55"/>
      <c r="K19" s="35"/>
      <c r="L19" s="35"/>
      <c r="M19" s="35"/>
    </row>
    <row r="20" spans="1:13" x14ac:dyDescent="0.2">
      <c r="A20" s="34"/>
      <c r="B20" s="34"/>
      <c r="C20" s="34"/>
      <c r="D20" s="34"/>
      <c r="E20" s="34"/>
      <c r="F20" s="34"/>
      <c r="G20" s="34"/>
      <c r="H20" s="34"/>
      <c r="I20" s="34"/>
      <c r="J20" s="34"/>
      <c r="K20" s="34"/>
      <c r="L20" s="34"/>
      <c r="M20" s="34"/>
    </row>
    <row r="21" spans="1:13" x14ac:dyDescent="0.2">
      <c r="A21" s="34"/>
      <c r="B21" s="34"/>
      <c r="C21" s="34"/>
      <c r="D21" s="34"/>
      <c r="E21" s="34"/>
      <c r="F21" s="34"/>
      <c r="G21" s="34"/>
      <c r="H21" s="34"/>
      <c r="I21" s="34"/>
      <c r="J21" s="34"/>
      <c r="K21" s="34"/>
      <c r="L21" s="34"/>
      <c r="M21" s="34"/>
    </row>
    <row r="22" spans="1:13" x14ac:dyDescent="0.2">
      <c r="A22" s="34"/>
      <c r="B22" s="34"/>
      <c r="C22" s="34"/>
      <c r="D22" s="34"/>
      <c r="E22" s="34"/>
      <c r="F22" s="34"/>
      <c r="G22" s="34"/>
      <c r="H22" s="34"/>
      <c r="I22" s="34"/>
      <c r="J22" s="34"/>
      <c r="K22" s="34"/>
      <c r="L22" s="34"/>
      <c r="M22" s="34"/>
    </row>
  </sheetData>
  <sheetProtection sheet="1" objects="1" scenarios="1" selectLockedCells="1"/>
  <mergeCells count="23">
    <mergeCell ref="I16:J17"/>
    <mergeCell ref="D16:E17"/>
    <mergeCell ref="D18:E19"/>
    <mergeCell ref="I18:J19"/>
    <mergeCell ref="B1:L3"/>
    <mergeCell ref="K14:L14"/>
    <mergeCell ref="H14:I14"/>
    <mergeCell ref="E14:F14"/>
    <mergeCell ref="B14:C14"/>
    <mergeCell ref="B10:C11"/>
    <mergeCell ref="B12:C13"/>
    <mergeCell ref="E10:F11"/>
    <mergeCell ref="E12:F13"/>
    <mergeCell ref="H10:I11"/>
    <mergeCell ref="H12:I13"/>
    <mergeCell ref="K10:L11"/>
    <mergeCell ref="K12:L13"/>
    <mergeCell ref="C7:D8"/>
    <mergeCell ref="C5:D6"/>
    <mergeCell ref="F5:G6"/>
    <mergeCell ref="F7:G8"/>
    <mergeCell ref="I5:J6"/>
    <mergeCell ref="I7:J8"/>
  </mergeCells>
  <dataValidations count="4">
    <dataValidation type="whole" allowBlank="1" showInputMessage="1" showErrorMessage="1" error="Enter time in service" sqref="F7:G8">
      <formula1>0</formula1>
      <formula2>50</formula2>
    </dataValidation>
    <dataValidation type="list" errorStyle="information" allowBlank="1" showDropDown="1" showInputMessage="1" showErrorMessage="1" error="Enter Yes or No" sqref="B12:C13">
      <formula1>"Yes, No, yes, no"</formula1>
    </dataValidation>
    <dataValidation errorStyle="information" allowBlank="1" showInputMessage="1" showErrorMessage="1" error="Enter Yes or No" sqref="I7:J8 H12:I13 K12:L13"/>
    <dataValidation errorStyle="information" allowBlank="1" showInputMessage="1" showErrorMessage="1" error="Enter Yes or No" sqref="E12:F13"/>
  </dataValidations>
  <pageMargins left="0.7" right="0.7" top="0.75" bottom="0.75" header="0.3" footer="0.3"/>
  <pageSetup orientation="portrait" r:id="rId1"/>
  <ignoredErrors>
    <ignoredError sqref="I18 D18" evalError="1"/>
  </ignoredErrors>
  <extLst>
    <ext xmlns:x14="http://schemas.microsoft.com/office/spreadsheetml/2009/9/main" uri="{CCE6A557-97BC-4b89-ADB6-D9C93CAAB3DF}">
      <x14:dataValidations xmlns:xm="http://schemas.microsoft.com/office/excel/2006/main" count="1">
        <x14:dataValidation type="list" errorStyle="information" allowBlank="1" showDropDown="1" showInputMessage="1" showErrorMessage="1" error="Enter Pay Grade">
          <x14:formula1>
            <xm:f>'Pay Table'!$A$2:$A$28</xm:f>
          </x14:formula1>
          <xm:sqref>C7:D8</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_dlc_DocId xmlns="34041ef2-7096-437b-b2f5-0425946b5443">JRW6HQWP2SJU-240-97</_dlc_DocId>
    <_dlc_DocIdUrl xmlns="34041ef2-7096-437b-b2f5-0425946b5443">
      <Url>https://states.gkoportal.ng.mil/states/AR/JStaff/J3/_layouts/DocIdRedir.aspx?ID=JRW6HQWP2SJU-240-97</Url>
      <Description>JRW6HQWP2SJU-240-97</Description>
    </_dlc_DocIdUrl>
    <As_x0020_of_x0020_Date xmlns="99323b42-139f-4b21-9998-387a332292d7">2015-04-01T04:00:00+00:00</As_x0020_of_x0020_Date>
    <Document_x0020_Type xmlns="99323b42-139f-4b21-9998-387a332292d7">Payroll</Document_x0020_Type>
    <Sub_x002d_Category xmlns="99323b42-139f-4b21-9998-387a332292d7">Pay Documents</Sub_x002d_Category>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2877C0CA19FDC84FAA1D9B8600439626" ma:contentTypeVersion="5" ma:contentTypeDescription="Create a new document." ma:contentTypeScope="" ma:versionID="b43365df530963c3747c99575b21e477">
  <xsd:schema xmlns:xsd="http://www.w3.org/2001/XMLSchema" xmlns:xs="http://www.w3.org/2001/XMLSchema" xmlns:p="http://schemas.microsoft.com/office/2006/metadata/properties" xmlns:ns1="99323b42-139f-4b21-9998-387a332292d7" xmlns:ns3="34041ef2-7096-437b-b2f5-0425946b5443" targetNamespace="http://schemas.microsoft.com/office/2006/metadata/properties" ma:root="true" ma:fieldsID="a980cb259cd002357210a6080b1f1489" ns1:_="" ns3:_="">
    <xsd:import namespace="99323b42-139f-4b21-9998-387a332292d7"/>
    <xsd:import namespace="34041ef2-7096-437b-b2f5-0425946b5443"/>
    <xsd:element name="properties">
      <xsd:complexType>
        <xsd:sequence>
          <xsd:element name="documentManagement">
            <xsd:complexType>
              <xsd:all>
                <xsd:element ref="ns1:Document_x0020_Type"/>
                <xsd:element ref="ns1:Sub_x002d_Category" minOccurs="0"/>
                <xsd:element ref="ns1:As_x0020_of_x0020_Date"/>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323b42-139f-4b21-9998-387a332292d7" elementFormDefault="qualified">
    <xsd:import namespace="http://schemas.microsoft.com/office/2006/documentManagement/types"/>
    <xsd:import namespace="http://schemas.microsoft.com/office/infopath/2007/PartnerControls"/>
    <xsd:element name="Document_x0020_Type" ma:index="0" ma:displayName="Document Type" ma:format="Dropdown" ma:internalName="Document_x0020_Type">
      <xsd:simpleType>
        <xsd:restriction base="dms:Choice">
          <xsd:enumeration value="SOP"/>
          <xsd:enumeration value="Payroll"/>
          <xsd:enumeration value="Reimbursements"/>
          <xsd:enumeration value="SAD Orders"/>
          <xsd:enumeration value="CCIR"/>
          <xsd:enumeration value="SITREP"/>
          <xsd:enumeration value="Pacing Items"/>
          <xsd:enumeration value="Story Boards"/>
          <xsd:enumeration value="Force Package"/>
          <xsd:enumeration value="Capabilities"/>
          <xsd:enumeration value="Joint Training Guidance"/>
        </xsd:restriction>
      </xsd:simpleType>
    </xsd:element>
    <xsd:element name="Sub_x002d_Category" ma:index="1" nillable="true" ma:displayName="Sub-Category" ma:format="Dropdown" ma:internalName="Sub_x002d_Category">
      <xsd:simpleType>
        <xsd:restriction base="dms:Choice">
          <xsd:enumeration value="MilPO Order"/>
          <xsd:enumeration value="Pay Documents"/>
          <xsd:enumeration value="SAD Vendor Reimbursements"/>
          <xsd:enumeration value="Workers Compensation"/>
          <xsd:enumeration value="JOB Aids"/>
          <xsd:enumeration value="DSCA"/>
          <xsd:enumeration value="P-Card"/>
          <xsd:enumeration value="Equipment"/>
          <xsd:enumeration value="COMSTAT"/>
        </xsd:restriction>
      </xsd:simpleType>
    </xsd:element>
    <xsd:element name="As_x0020_of_x0020_Date" ma:index="4" ma:displayName="As of Date" ma:default="[today]" ma:format="DateOnly" ma:internalName="As_x0020_of_x0020_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34041ef2-7096-437b-b2f5-0425946b5443" elementFormDefault="qualified">
    <xsd:import namespace="http://schemas.microsoft.com/office/2006/documentManagement/types"/>
    <xsd:import namespace="http://schemas.microsoft.com/office/infopath/2007/PartnerControls"/>
    <xsd:element name="_dlc_DocId" ma:index="7" nillable="true" ma:displayName="Document ID Value" ma:description="The value of the document ID assigned to this item." ma:internalName="_dlc_DocId" ma:readOnly="true">
      <xsd:simpleType>
        <xsd:restriction base="dms:Text"/>
      </xsd:simpleType>
    </xsd:element>
    <xsd:element name="_dlc_DocIdUrl" ma:index="8"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9"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ARIMS"/>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D25FFB0-52E0-4CA3-805A-3C342256E0F2}">
  <ds:schemaRefs>
    <ds:schemaRef ds:uri="http://schemas.microsoft.com/sharepoint/events"/>
  </ds:schemaRefs>
</ds:datastoreItem>
</file>

<file path=customXml/itemProps2.xml><?xml version="1.0" encoding="utf-8"?>
<ds:datastoreItem xmlns:ds="http://schemas.openxmlformats.org/officeDocument/2006/customXml" ds:itemID="{8D914B89-5418-4B4D-ADEA-FE62AF431E34}">
  <ds:schemaRefs>
    <ds:schemaRef ds:uri="http://schemas.microsoft.com/sharepoint/v3/contenttype/forms"/>
  </ds:schemaRefs>
</ds:datastoreItem>
</file>

<file path=customXml/itemProps3.xml><?xml version="1.0" encoding="utf-8"?>
<ds:datastoreItem xmlns:ds="http://schemas.openxmlformats.org/officeDocument/2006/customXml" ds:itemID="{8DBD6461-8DBF-4001-9672-3784A42C809C}">
  <ds:schemaRefs>
    <ds:schemaRef ds:uri="http://schemas.microsoft.com/office/2006/documentManagement/types"/>
    <ds:schemaRef ds:uri="34041ef2-7096-437b-b2f5-0425946b5443"/>
    <ds:schemaRef ds:uri="http://purl.org/dc/dcmitype/"/>
    <ds:schemaRef ds:uri="http://purl.org/dc/terms/"/>
    <ds:schemaRef ds:uri="http://purl.org/dc/elements/1.1/"/>
    <ds:schemaRef ds:uri="http://schemas.openxmlformats.org/package/2006/metadata/core-properties"/>
    <ds:schemaRef ds:uri="http://schemas.microsoft.com/office/infopath/2007/PartnerControls"/>
    <ds:schemaRef ds:uri="99323b42-139f-4b21-9998-387a332292d7"/>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7C4458C8-57AE-49E9-9583-564721457F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9323b42-139f-4b21-9998-387a332292d7"/>
    <ds:schemaRef ds:uri="34041ef2-7096-437b-b2f5-0425946b544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Pay Table</vt:lpstr>
      <vt:lpstr>How To Use Calc</vt:lpstr>
      <vt:lpstr>Calculator</vt:lpstr>
    </vt:vector>
  </TitlesOfParts>
  <Company>AR-ARNG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AdamsJP</dc:creator>
  <cp:lastModifiedBy>WURTZ, MATTHEW T SSgt US Air Force ANG 189 SC/SCOO</cp:lastModifiedBy>
  <cp:lastPrinted>2011-01-04T12:36:04Z</cp:lastPrinted>
  <dcterms:created xsi:type="dcterms:W3CDTF">2004-12-01T19:38:53Z</dcterms:created>
  <dcterms:modified xsi:type="dcterms:W3CDTF">2019-06-26T15:09:36Z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0x0101002877C0CA19FDC84FAA1D9B8600439626</vt:lpwstr>
  </property>
  <property fmtid="{D5CDD505-2E9C-101B-9397-08002B2CF9AE}" pid="3" name="_dlc_DocIdItemGuid">
    <vt:lpwstr>da0f5382-f0af-4f5c-ad3f-82ab9292c792</vt:lpwstr>
  </property>
</Properties>
</file>