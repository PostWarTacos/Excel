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1365935510N\Documents\Programming\Excel\"/>
    </mc:Choice>
  </mc:AlternateContent>
  <bookViews>
    <workbookView xWindow="0" yWindow="210" windowWidth="21570" windowHeight="7995"/>
  </bookViews>
  <sheets>
    <sheet name="Data" sheetId="1" r:id="rId1"/>
    <sheet name="By Item" sheetId="2" r:id="rId2"/>
    <sheet name="By Category" sheetId="3" r:id="rId3"/>
  </sheets>
  <calcPr calcId="152511"/>
  <pivotCaches>
    <pivotCache cacheId="4" r:id="rId4"/>
  </pivotCaches>
</workbook>
</file>

<file path=xl/calcChain.xml><?xml version="1.0" encoding="utf-8"?>
<calcChain xmlns="http://schemas.openxmlformats.org/spreadsheetml/2006/main">
  <c r="G89" i="1" l="1"/>
  <c r="H89" i="1" s="1"/>
  <c r="G88" i="1"/>
  <c r="H88" i="1" s="1"/>
  <c r="G87" i="1"/>
  <c r="H87" i="1" s="1"/>
  <c r="G86" i="1"/>
  <c r="H86" i="1" s="1"/>
  <c r="G85" i="1"/>
  <c r="H85" i="1" s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H9" i="1"/>
  <c r="G9" i="1"/>
  <c r="G8" i="1"/>
  <c r="H8" i="1" s="1"/>
  <c r="G7" i="1"/>
  <c r="H7" i="1" s="1"/>
  <c r="G6" i="1"/>
  <c r="H6" i="1" s="1"/>
  <c r="G5" i="1"/>
  <c r="H5" i="1" s="1"/>
  <c r="G4" i="1"/>
  <c r="H4" i="1" s="1"/>
  <c r="G90" i="1" l="1"/>
  <c r="H90" i="1" s="1"/>
</calcChain>
</file>

<file path=xl/sharedStrings.xml><?xml version="1.0" encoding="utf-8"?>
<sst xmlns="http://schemas.openxmlformats.org/spreadsheetml/2006/main" count="350" uniqueCount="131">
  <si>
    <t>Category</t>
  </si>
  <si>
    <t>Item</t>
  </si>
  <si>
    <t>Weight</t>
  </si>
  <si>
    <t>Quantity</t>
  </si>
  <si>
    <t>Total Weight</t>
  </si>
  <si>
    <t>password: backpack</t>
  </si>
  <si>
    <t>lbs</t>
  </si>
  <si>
    <t>oz</t>
  </si>
  <si>
    <t>Owned</t>
  </si>
  <si>
    <t>Packing</t>
  </si>
  <si>
    <t>Weight - lbs</t>
  </si>
  <si>
    <t>Weight - oz</t>
  </si>
  <si>
    <t>Quantity Owned</t>
  </si>
  <si>
    <t>Quantity Packing</t>
  </si>
  <si>
    <t>Total oz</t>
  </si>
  <si>
    <t>Clothes</t>
  </si>
  <si>
    <t>Camo Multipurpose Neckroll</t>
  </si>
  <si>
    <t>Lightweight Hat</t>
  </si>
  <si>
    <t>Grip 6 Belt</t>
  </si>
  <si>
    <t>Pair Socks</t>
  </si>
  <si>
    <t>Underwear</t>
  </si>
  <si>
    <t>∞</t>
  </si>
  <si>
    <t>Shirts</t>
  </si>
  <si>
    <t>Pair Watershoes</t>
  </si>
  <si>
    <t>Pants</t>
  </si>
  <si>
    <t>Pair Boots</t>
  </si>
  <si>
    <t>Hat</t>
  </si>
  <si>
    <t>Gun Belt</t>
  </si>
  <si>
    <t>Belt</t>
  </si>
  <si>
    <t>Dog</t>
  </si>
  <si>
    <t>Dog Water Bowl</t>
  </si>
  <si>
    <t>Dog Food Bowl</t>
  </si>
  <si>
    <t>Dog Leash</t>
  </si>
  <si>
    <t>Dog Tether</t>
  </si>
  <si>
    <t>Electronics</t>
  </si>
  <si>
    <t>Retracting USB Cable</t>
  </si>
  <si>
    <t>Fitbit</t>
  </si>
  <si>
    <t>USB Lipstick Charger</t>
  </si>
  <si>
    <t>Phone</t>
  </si>
  <si>
    <t>Emergency</t>
  </si>
  <si>
    <t>Sectioned Pill Box</t>
  </si>
  <si>
    <t>Fox 40 Whistle w/ Clip</t>
  </si>
  <si>
    <t>Steel and Magnesium Fire Starter</t>
  </si>
  <si>
    <t>Storm Proof Matches Case (Full)</t>
  </si>
  <si>
    <t>Paracord 50 ft</t>
  </si>
  <si>
    <t>Ultralight Watertight First Aid Kit</t>
  </si>
  <si>
    <t>Pill Box</t>
  </si>
  <si>
    <t>First Aid Kit</t>
  </si>
  <si>
    <t>Food</t>
  </si>
  <si>
    <t>Fuel Canister Stand</t>
  </si>
  <si>
    <t>MSR PocketRocket 2 Stove</t>
  </si>
  <si>
    <t>Granola Bars</t>
  </si>
  <si>
    <t>Mountain House</t>
  </si>
  <si>
    <t>Cliff Bars</t>
  </si>
  <si>
    <t>Messkit</t>
  </si>
  <si>
    <t>Plastic Flatware</t>
  </si>
  <si>
    <t>Metal Flatware w/ Case</t>
  </si>
  <si>
    <t>Gun</t>
  </si>
  <si>
    <t>Holster</t>
  </si>
  <si>
    <t>Magazine (Loaded)</t>
  </si>
  <si>
    <t>Gun w/ Magazine (Loaded)</t>
  </si>
  <si>
    <t>Hygeine</t>
  </si>
  <si>
    <t>Lightweight Potty Trowel</t>
  </si>
  <si>
    <t>Hand Sanitizer</t>
  </si>
  <si>
    <t>Biodegradable Wash Towels</t>
  </si>
  <si>
    <t>Hand Towel</t>
  </si>
  <si>
    <t>Potty Trowel</t>
  </si>
  <si>
    <t>Other</t>
  </si>
  <si>
    <t>Cards</t>
  </si>
  <si>
    <t>Keys</t>
  </si>
  <si>
    <t>Book</t>
  </si>
  <si>
    <t>Pack</t>
  </si>
  <si>
    <t>Dakine Stuff Sack</t>
  </si>
  <si>
    <t>Red Carabiner (Large)</t>
  </si>
  <si>
    <t>Hard Glasses Case</t>
  </si>
  <si>
    <t>2 ft Bungee Cord</t>
  </si>
  <si>
    <t>Waterproof Phone Case</t>
  </si>
  <si>
    <t>Osprey Atmos Pack (50L)</t>
  </si>
  <si>
    <t>Ozark Trail Backpack (45L)</t>
  </si>
  <si>
    <t>Gold Carabiner (Med)</t>
  </si>
  <si>
    <t>Blue Carabiner (Small)</t>
  </si>
  <si>
    <t>3 ft Bungee Cord</t>
  </si>
  <si>
    <t>Safety</t>
  </si>
  <si>
    <t>Insect Repellent Wristband</t>
  </si>
  <si>
    <t>Glasses</t>
  </si>
  <si>
    <t>Sawyer 32 oz Bag</t>
  </si>
  <si>
    <t>Sawyer Cleaning Syringe</t>
  </si>
  <si>
    <t>Sunglasses</t>
  </si>
  <si>
    <t>Headlamp</t>
  </si>
  <si>
    <t>Sawyer Insect Repellent</t>
  </si>
  <si>
    <t>Sawyer Filter w/ Tips</t>
  </si>
  <si>
    <t>XML-T6 Flashlight</t>
  </si>
  <si>
    <t>Trekking Poles</t>
  </si>
  <si>
    <t>Thermacell w/ Butane and Wafers</t>
  </si>
  <si>
    <t>Large Can of Repel Insect Repellent</t>
  </si>
  <si>
    <t>Shelter</t>
  </si>
  <si>
    <t>Morrison 2 Footprint</t>
  </si>
  <si>
    <t>Camo Pillow</t>
  </si>
  <si>
    <t>Tripod Chair</t>
  </si>
  <si>
    <t>Klymit Static V2 Sleeping Pad</t>
  </si>
  <si>
    <t>50 Degree Sleeping Bag</t>
  </si>
  <si>
    <t>Morrison 2 Tent</t>
  </si>
  <si>
    <t>Hammock w/ Mosquito Net</t>
  </si>
  <si>
    <t>Tarp (8 x 10)</t>
  </si>
  <si>
    <t>Sleeping Pad</t>
  </si>
  <si>
    <t>Horizon 3 Tent</t>
  </si>
  <si>
    <t>EazyLife Sleeping Bag</t>
  </si>
  <si>
    <t>PaqLite</t>
  </si>
  <si>
    <t>Paqlite Stick</t>
  </si>
  <si>
    <t>(All)</t>
  </si>
  <si>
    <t>Row Labels</t>
  </si>
  <si>
    <t>Sum of Total oz</t>
  </si>
  <si>
    <t>Socks</t>
  </si>
  <si>
    <t>Hand Trowel</t>
  </si>
  <si>
    <t>Bug Spray</t>
  </si>
  <si>
    <t>Watershoes</t>
  </si>
  <si>
    <t>Gun (Loaded)</t>
  </si>
  <si>
    <t>Tarp</t>
  </si>
  <si>
    <t>Grand Total</t>
  </si>
  <si>
    <t>Clothes Total</t>
  </si>
  <si>
    <t>Dog Total</t>
  </si>
  <si>
    <t>Electronics Total</t>
  </si>
  <si>
    <t>Emergency Total</t>
  </si>
  <si>
    <t>Food Total</t>
  </si>
  <si>
    <t>Gun Total</t>
  </si>
  <si>
    <t>Hygeine Total</t>
  </si>
  <si>
    <t>Other Total</t>
  </si>
  <si>
    <t>Pack Total</t>
  </si>
  <si>
    <t>Safety Total</t>
  </si>
  <si>
    <t>Shelter Total</t>
  </si>
  <si>
    <t>SUM of Total oz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</si>
</sst>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2"/>
      <color rgb="FF000000"/>
      <name val="Arial"/>
    </font>
    <font>
      <b/>
      <sz val="16"/>
      <color rgb="FF000000"/>
      <name val="Arial"/>
    </font>
    <font>
      <b/>
      <sz val="14"/>
      <color rgb="FF000000"/>
      <name val="Arial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2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1" xfId="0" pivotButton="1" applyFont="1" applyBorder="1" applyAlignment="1"/>
    <xf numFmtId="0" fontId="0" fillId="0" borderId="2" xfId="0" pivotButton="1" applyFont="1" applyBorder="1" applyAlignment="1"/>
    <xf numFmtId="0" fontId="0" fillId="0" borderId="3" xfId="0" applyFont="1" applyBorder="1" applyAlignment="1"/>
    <xf numFmtId="0" fontId="0" fillId="0" borderId="1" xfId="0" applyFont="1" applyBorder="1" applyAlignment="1"/>
    <xf numFmtId="0" fontId="0" fillId="0" borderId="3" xfId="0" applyNumberFormat="1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NumberFormat="1" applyFont="1" applyBorder="1" applyAlignment="1"/>
    <xf numFmtId="0" fontId="0" fillId="0" borderId="2" xfId="0" applyFont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9" xfId="0" applyNumberFormat="1" applyFont="1" applyBorder="1" applyAlignment="1"/>
  </cellXfs>
  <cellStyles count="1">
    <cellStyle name="Normal" xfId="0" builtinId="0"/>
  </cellStyles>
  <dxfs count="2">
    <dxf>
      <fill>
        <patternFill patternType="solid">
          <fgColor rgb="FFFF9B9B"/>
          <bgColor rgb="FFFF9B9B"/>
        </patternFill>
      </fill>
    </dxf>
    <dxf>
      <font>
        <b/>
        <color rgb="FF009C5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rgbClr val="595959"/>
                </a:solidFill>
              </a:defRPr>
            </a:pPr>
            <a:r>
              <a:t>Total Weight in oz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'By Item'!$B$3</c:f>
              <c:strCache>
                <c:ptCount val="1"/>
                <c:pt idx="0">
                  <c:v>Sum of Total oz</c:v>
                </c:pt>
              </c:strCache>
            </c:strRef>
          </c:tx>
          <c:dPt>
            <c:idx val="0"/>
            <c:bubble3D val="0"/>
            <c:spPr>
              <a:solidFill>
                <a:srgbClr val="4472C4"/>
              </a:solidFill>
            </c:spPr>
          </c:dPt>
          <c:dPt>
            <c:idx val="1"/>
            <c:bubble3D val="0"/>
            <c:spPr>
              <a:solidFill>
                <a:srgbClr val="ED7D31"/>
              </a:solidFill>
            </c:spPr>
          </c:dPt>
          <c:dPt>
            <c:idx val="2"/>
            <c:bubble3D val="0"/>
            <c:spPr>
              <a:solidFill>
                <a:srgbClr val="A5A5A5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Pt>
            <c:idx val="4"/>
            <c:bubble3D val="0"/>
            <c:spPr>
              <a:solidFill>
                <a:srgbClr val="5B9BD5"/>
              </a:solidFill>
            </c:spPr>
          </c:dPt>
          <c:dPt>
            <c:idx val="5"/>
            <c:bubble3D val="0"/>
            <c:spPr>
              <a:solidFill>
                <a:srgbClr val="70AD47"/>
              </a:solidFill>
            </c:spPr>
          </c:dPt>
          <c:dPt>
            <c:idx val="6"/>
            <c:bubble3D val="0"/>
            <c:spPr>
              <a:solidFill>
                <a:srgbClr val="1B2E4E"/>
              </a:solidFill>
            </c:spPr>
          </c:dPt>
          <c:dPt>
            <c:idx val="7"/>
            <c:bubble3D val="0"/>
            <c:spPr>
              <a:solidFill>
                <a:srgbClr val="5F3214"/>
              </a:solidFill>
            </c:spPr>
          </c:dPt>
          <c:dPt>
            <c:idx val="8"/>
            <c:bubble3D val="0"/>
            <c:spPr>
              <a:solidFill>
                <a:srgbClr val="424242"/>
              </a:solidFill>
            </c:spPr>
          </c:dPt>
          <c:dPt>
            <c:idx val="9"/>
            <c:bubble3D val="0"/>
            <c:spPr>
              <a:solidFill>
                <a:srgbClr val="664D00"/>
              </a:solidFill>
            </c:spPr>
          </c:dPt>
          <c:dPt>
            <c:idx val="10"/>
            <c:bubble3D val="0"/>
            <c:spPr>
              <a:solidFill>
                <a:srgbClr val="243E55"/>
              </a:solidFill>
            </c:spPr>
          </c:dPt>
          <c:dPt>
            <c:idx val="11"/>
            <c:bubble3D val="0"/>
            <c:spPr>
              <a:solidFill>
                <a:srgbClr val="2D451C"/>
              </a:solidFill>
            </c:spPr>
          </c:dPt>
          <c:dPt>
            <c:idx val="12"/>
            <c:bubble3D val="0"/>
            <c:spPr>
              <a:solidFill>
                <a:srgbClr val="698ED0"/>
              </a:solidFill>
            </c:spPr>
          </c:dPt>
          <c:dPt>
            <c:idx val="13"/>
            <c:bubble3D val="0"/>
            <c:spPr>
              <a:solidFill>
                <a:srgbClr val="F1975A"/>
              </a:solidFill>
            </c:spPr>
          </c:dPt>
          <c:dPt>
            <c:idx val="14"/>
            <c:bubble3D val="0"/>
            <c:spPr>
              <a:solidFill>
                <a:srgbClr val="B7B7B7"/>
              </a:solidFill>
            </c:spPr>
          </c:dPt>
          <c:dPt>
            <c:idx val="15"/>
            <c:bubble3D val="0"/>
            <c:spPr>
              <a:solidFill>
                <a:srgbClr val="FFCD33"/>
              </a:solidFill>
            </c:spPr>
          </c:dPt>
          <c:dPt>
            <c:idx val="16"/>
            <c:bubble3D val="0"/>
            <c:spPr>
              <a:solidFill>
                <a:srgbClr val="7CAFDD"/>
              </a:solidFill>
            </c:spPr>
          </c:dPt>
          <c:dPt>
            <c:idx val="17"/>
            <c:bubble3D val="0"/>
            <c:spPr>
              <a:solidFill>
                <a:srgbClr val="8DBD6C"/>
              </a:solidFill>
            </c:spPr>
          </c:dPt>
          <c:dPt>
            <c:idx val="18"/>
            <c:bubble3D val="0"/>
            <c:spPr>
              <a:solidFill>
                <a:srgbClr val="0E1727"/>
              </a:solidFill>
            </c:spPr>
          </c:dPt>
          <c:dPt>
            <c:idx val="19"/>
            <c:bubble3D val="0"/>
            <c:spPr>
              <a:solidFill>
                <a:srgbClr val="2F190A"/>
              </a:solidFill>
            </c:spPr>
          </c:dPt>
          <c:dPt>
            <c:idx val="20"/>
            <c:bubble3D val="0"/>
            <c:spPr>
              <a:solidFill>
                <a:srgbClr val="212121"/>
              </a:solidFill>
            </c:spPr>
          </c:dPt>
          <c:dPt>
            <c:idx val="21"/>
            <c:bubble3D val="0"/>
            <c:spPr>
              <a:solidFill>
                <a:srgbClr val="332600"/>
              </a:solidFill>
            </c:spPr>
          </c:dPt>
          <c:dPt>
            <c:idx val="22"/>
            <c:bubble3D val="0"/>
            <c:spPr>
              <a:solidFill>
                <a:srgbClr val="121F2B"/>
              </a:solidFill>
            </c:spPr>
          </c:dPt>
          <c:dPt>
            <c:idx val="23"/>
            <c:bubble3D val="0"/>
            <c:spPr>
              <a:solidFill>
                <a:srgbClr val="16230E"/>
              </a:solidFill>
            </c:spPr>
          </c:dPt>
          <c:dPt>
            <c:idx val="24"/>
            <c:bubble3D val="0"/>
            <c:spPr>
              <a:solidFill>
                <a:srgbClr val="8FAADC"/>
              </a:solidFill>
            </c:spPr>
          </c:dPt>
          <c:dPt>
            <c:idx val="25"/>
            <c:bubble3D val="0"/>
            <c:spPr>
              <a:solidFill>
                <a:srgbClr val="F4B183"/>
              </a:solidFill>
            </c:spPr>
          </c:dPt>
          <c:dPt>
            <c:idx val="26"/>
            <c:bubble3D val="0"/>
            <c:spPr>
              <a:solidFill>
                <a:srgbClr val="C9C9C9"/>
              </a:solidFill>
            </c:spPr>
          </c:dPt>
          <c:dPt>
            <c:idx val="27"/>
            <c:bubble3D val="0"/>
            <c:spPr>
              <a:solidFill>
                <a:srgbClr val="FFD966"/>
              </a:solidFill>
            </c:spPr>
          </c:dPt>
          <c:dPt>
            <c:idx val="28"/>
            <c:bubble3D val="0"/>
            <c:spPr>
              <a:solidFill>
                <a:srgbClr val="9DC3E6"/>
              </a:solidFill>
            </c:spPr>
          </c:dPt>
          <c:dPt>
            <c:idx val="29"/>
            <c:bubble3D val="0"/>
            <c:spPr>
              <a:solidFill>
                <a:srgbClr val="A9CE91"/>
              </a:solidFill>
            </c:spPr>
          </c:dPt>
          <c:dPt>
            <c:idx val="30"/>
            <c:bubble3D val="0"/>
            <c:spPr>
              <a:solidFill>
                <a:srgbClr val="223962"/>
              </a:solidFill>
            </c:spPr>
          </c:dPt>
          <c:dPt>
            <c:idx val="31"/>
            <c:bubble3D val="0"/>
            <c:spPr>
              <a:solidFill>
                <a:srgbClr val="773F19"/>
              </a:solidFill>
            </c:spPr>
          </c:dPt>
          <c:dPt>
            <c:idx val="32"/>
            <c:bubble3D val="0"/>
            <c:spPr>
              <a:solidFill>
                <a:srgbClr val="535353"/>
              </a:solidFill>
            </c:spPr>
          </c:dPt>
          <c:dPt>
            <c:idx val="33"/>
            <c:bubble3D val="0"/>
            <c:spPr>
              <a:solidFill>
                <a:srgbClr val="806000"/>
              </a:solidFill>
            </c:spPr>
          </c:dPt>
          <c:dPt>
            <c:idx val="34"/>
            <c:bubble3D val="0"/>
            <c:spPr>
              <a:solidFill>
                <a:srgbClr val="2E4E6B"/>
              </a:solidFill>
            </c:spPr>
          </c:dPt>
          <c:dPt>
            <c:idx val="35"/>
            <c:bubble3D val="0"/>
            <c:spPr>
              <a:solidFill>
                <a:srgbClr val="385724"/>
              </a:solidFill>
            </c:spPr>
          </c:dPt>
          <c:dPt>
            <c:idx val="36"/>
            <c:bubble3D val="0"/>
            <c:spPr>
              <a:solidFill>
                <a:srgbClr val="7C9CD6"/>
              </a:solidFill>
            </c:spPr>
          </c:dPt>
          <c:dPt>
            <c:idx val="37"/>
            <c:bubble3D val="0"/>
            <c:spPr>
              <a:solidFill>
                <a:srgbClr val="F2A46F"/>
              </a:solidFill>
            </c:spPr>
          </c:dPt>
          <c:dPt>
            <c:idx val="38"/>
            <c:bubble3D val="0"/>
            <c:spPr>
              <a:solidFill>
                <a:srgbClr val="C0C0C0"/>
              </a:solidFill>
            </c:spPr>
          </c:dPt>
          <c:dPt>
            <c:idx val="39"/>
            <c:bubble3D val="0"/>
            <c:spPr>
              <a:solidFill>
                <a:srgbClr val="FFD34D"/>
              </a:solidFill>
            </c:spPr>
          </c:dPt>
          <c:dPt>
            <c:idx val="40"/>
            <c:bubble3D val="0"/>
            <c:spPr>
              <a:solidFill>
                <a:srgbClr val="8CB9E2"/>
              </a:solidFill>
            </c:spPr>
          </c:dPt>
          <c:dPt>
            <c:idx val="41"/>
            <c:bubble3D val="0"/>
            <c:spPr>
              <a:solidFill>
                <a:srgbClr val="9BC67E"/>
              </a:solidFill>
            </c:spPr>
          </c:dPt>
          <c:dPt>
            <c:idx val="42"/>
            <c:bubble3D val="0"/>
            <c:spPr>
              <a:solidFill>
                <a:srgbClr val="14223B"/>
              </a:solidFill>
            </c:spPr>
          </c:dPt>
          <c:dPt>
            <c:idx val="43"/>
            <c:bubble3D val="0"/>
            <c:spPr>
              <a:solidFill>
                <a:srgbClr val="47260F"/>
              </a:solidFill>
            </c:spPr>
          </c:dPt>
          <c:dPt>
            <c:idx val="44"/>
            <c:bubble3D val="0"/>
            <c:spPr>
              <a:solidFill>
                <a:srgbClr val="323232"/>
              </a:solidFill>
            </c:spPr>
          </c:dPt>
          <c:dPt>
            <c:idx val="45"/>
            <c:bubble3D val="0"/>
            <c:spPr>
              <a:solidFill>
                <a:srgbClr val="4D3A00"/>
              </a:solidFill>
            </c:spPr>
          </c:dPt>
          <c:dPt>
            <c:idx val="46"/>
            <c:bubble3D val="0"/>
            <c:spPr>
              <a:solidFill>
                <a:srgbClr val="1B2F40"/>
              </a:solidFill>
            </c:spPr>
          </c:dPt>
          <c:dPt>
            <c:idx val="47"/>
            <c:bubble3D val="0"/>
            <c:spPr>
              <a:solidFill>
                <a:srgbClr val="223415"/>
              </a:solidFill>
            </c:spPr>
          </c:dPt>
          <c:dPt>
            <c:idx val="48"/>
            <c:bubble3D val="0"/>
            <c:spPr>
              <a:solidFill>
                <a:srgbClr val="A2B9E2"/>
              </a:solidFill>
            </c:spPr>
          </c:dPt>
          <c:dPt>
            <c:idx val="49"/>
            <c:bubble3D val="0"/>
            <c:spPr>
              <a:solidFill>
                <a:srgbClr val="F6BE98"/>
              </a:solidFill>
            </c:spPr>
          </c:dPt>
          <c:dPt>
            <c:idx val="50"/>
            <c:bubble3D val="0"/>
            <c:spPr>
              <a:solidFill>
                <a:srgbClr val="D2D2D2"/>
              </a:solidFill>
            </c:spPr>
          </c:dPt>
          <c:dPt>
            <c:idx val="51"/>
            <c:bubble3D val="0"/>
            <c:spPr>
              <a:solidFill>
                <a:srgbClr val="FFE080"/>
              </a:solidFill>
            </c:spPr>
          </c:dPt>
          <c:dPt>
            <c:idx val="52"/>
            <c:bubble3D val="0"/>
            <c:spPr>
              <a:solidFill>
                <a:srgbClr val="ADCDEA"/>
              </a:solidFill>
            </c:spPr>
          </c:dPt>
          <c:dPt>
            <c:idx val="53"/>
            <c:bubble3D val="0"/>
            <c:spPr>
              <a:solidFill>
                <a:srgbClr val="B8D6A3"/>
              </a:solidFill>
            </c:spPr>
          </c:dPt>
          <c:dPt>
            <c:idx val="54"/>
            <c:bubble3D val="0"/>
            <c:spPr>
              <a:solidFill>
                <a:srgbClr val="4472C4"/>
              </a:solidFill>
            </c:spPr>
          </c:dPt>
          <c:dPt>
            <c:idx val="55"/>
            <c:bubble3D val="0"/>
            <c:spPr>
              <a:solidFill>
                <a:srgbClr val="ED7D31"/>
              </a:solidFill>
            </c:spPr>
          </c:dPt>
          <c:dPt>
            <c:idx val="56"/>
            <c:bubble3D val="0"/>
            <c:spPr>
              <a:solidFill>
                <a:srgbClr val="A5A5A5"/>
              </a:solidFill>
            </c:spPr>
          </c:dPt>
          <c:dPt>
            <c:idx val="57"/>
            <c:bubble3D val="0"/>
            <c:spPr>
              <a:solidFill>
                <a:srgbClr val="FFC000"/>
              </a:solidFill>
            </c:spPr>
          </c:dPt>
          <c:dPt>
            <c:idx val="58"/>
            <c:bubble3D val="0"/>
            <c:spPr>
              <a:solidFill>
                <a:srgbClr val="5B9BD5"/>
              </a:solidFill>
            </c:spPr>
          </c:dPt>
          <c:dPt>
            <c:idx val="59"/>
            <c:bubble3D val="0"/>
            <c:spPr>
              <a:solidFill>
                <a:srgbClr val="70AD47"/>
              </a:solidFill>
            </c:spPr>
          </c:dPt>
          <c:dPt>
            <c:idx val="60"/>
            <c:bubble3D val="0"/>
            <c:spPr>
              <a:solidFill>
                <a:srgbClr val="1B2E4E"/>
              </a:solidFill>
            </c:spPr>
          </c:dPt>
          <c:dPt>
            <c:idx val="61"/>
            <c:bubble3D val="0"/>
            <c:spPr>
              <a:solidFill>
                <a:srgbClr val="5F3214"/>
              </a:solidFill>
            </c:spPr>
          </c:dPt>
          <c:dPt>
            <c:idx val="62"/>
            <c:bubble3D val="0"/>
            <c:spPr>
              <a:solidFill>
                <a:srgbClr val="424242"/>
              </a:solidFill>
            </c:spPr>
          </c:dPt>
          <c:dPt>
            <c:idx val="63"/>
            <c:bubble3D val="0"/>
            <c:spPr>
              <a:solidFill>
                <a:srgbClr val="664D00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'By Item'!$A$4:$A$67</c:f>
              <c:strCache>
                <c:ptCount val="64"/>
                <c:pt idx="0">
                  <c:v>Pill Box</c:v>
                </c:pt>
                <c:pt idx="1">
                  <c:v>Sectioned Pill Box</c:v>
                </c:pt>
                <c:pt idx="2">
                  <c:v>Retracting USB Cable</c:v>
                </c:pt>
                <c:pt idx="3">
                  <c:v>Glasses</c:v>
                </c:pt>
                <c:pt idx="4">
                  <c:v>Cards</c:v>
                </c:pt>
                <c:pt idx="5">
                  <c:v>Fox 40 Whistle w/ Clip</c:v>
                </c:pt>
                <c:pt idx="6">
                  <c:v>Plastic Flatware</c:v>
                </c:pt>
                <c:pt idx="7">
                  <c:v>Sawyer 32 oz Bag</c:v>
                </c:pt>
                <c:pt idx="8">
                  <c:v>Dakine Stuff Sack</c:v>
                </c:pt>
                <c:pt idx="9">
                  <c:v>Fuel Canister Stand</c:v>
                </c:pt>
                <c:pt idx="10">
                  <c:v>Sawyer Cleaning Syringe</c:v>
                </c:pt>
                <c:pt idx="11">
                  <c:v>Fitbit</c:v>
                </c:pt>
                <c:pt idx="12">
                  <c:v>Sunglasses</c:v>
                </c:pt>
                <c:pt idx="13">
                  <c:v>Camo Multipurpose Neckroll</c:v>
                </c:pt>
                <c:pt idx="14">
                  <c:v>Red Carabiner (Large)</c:v>
                </c:pt>
                <c:pt idx="15">
                  <c:v>Steel and Magnesium Fire Starter</c:v>
                </c:pt>
                <c:pt idx="16">
                  <c:v>Storm Proof Matches Case (Full)</c:v>
                </c:pt>
                <c:pt idx="17">
                  <c:v>Keys</c:v>
                </c:pt>
                <c:pt idx="18">
                  <c:v>USB Lipstick Charger</c:v>
                </c:pt>
                <c:pt idx="19">
                  <c:v>Metal Flatware w/ Case</c:v>
                </c:pt>
                <c:pt idx="20">
                  <c:v>Headlamp</c:v>
                </c:pt>
                <c:pt idx="21">
                  <c:v>Hand Sanitizer</c:v>
                </c:pt>
                <c:pt idx="22">
                  <c:v>Holster</c:v>
                </c:pt>
                <c:pt idx="23">
                  <c:v>Hat</c:v>
                </c:pt>
                <c:pt idx="24">
                  <c:v>Paracord 50 ft</c:v>
                </c:pt>
                <c:pt idx="25">
                  <c:v>Dog Water Bowl</c:v>
                </c:pt>
                <c:pt idx="26">
                  <c:v>Socks</c:v>
                </c:pt>
                <c:pt idx="27">
                  <c:v>Dog Food Bowl</c:v>
                </c:pt>
                <c:pt idx="28">
                  <c:v>Hard Glasses Case</c:v>
                </c:pt>
                <c:pt idx="29">
                  <c:v>Biodegradable Wash Towels</c:v>
                </c:pt>
                <c:pt idx="30">
                  <c:v>Hand Trowel</c:v>
                </c:pt>
                <c:pt idx="31">
                  <c:v>Sawyer Filter w/ Tips</c:v>
                </c:pt>
                <c:pt idx="32">
                  <c:v>2 ft Bungee Cord</c:v>
                </c:pt>
                <c:pt idx="33">
                  <c:v>Granola Bars</c:v>
                </c:pt>
                <c:pt idx="34">
                  <c:v>Waterproof Phone Case</c:v>
                </c:pt>
                <c:pt idx="35">
                  <c:v>Dog Leash</c:v>
                </c:pt>
                <c:pt idx="36">
                  <c:v>XML-T6 Flashlight</c:v>
                </c:pt>
                <c:pt idx="37">
                  <c:v>Magazine (Loaded)</c:v>
                </c:pt>
                <c:pt idx="38">
                  <c:v>Hand Towel</c:v>
                </c:pt>
                <c:pt idx="39">
                  <c:v>Phone</c:v>
                </c:pt>
                <c:pt idx="40">
                  <c:v>Mountain House</c:v>
                </c:pt>
                <c:pt idx="41">
                  <c:v>Thermacell w/ Butane and Wafers</c:v>
                </c:pt>
                <c:pt idx="42">
                  <c:v>Bug Spray</c:v>
                </c:pt>
                <c:pt idx="43">
                  <c:v>First Aid Kit</c:v>
                </c:pt>
                <c:pt idx="44">
                  <c:v>Underwear</c:v>
                </c:pt>
                <c:pt idx="45">
                  <c:v>Gun Belt</c:v>
                </c:pt>
                <c:pt idx="46">
                  <c:v>Camo Pillow</c:v>
                </c:pt>
                <c:pt idx="47">
                  <c:v>Shirts</c:v>
                </c:pt>
                <c:pt idx="48">
                  <c:v>Cliff Bars</c:v>
                </c:pt>
                <c:pt idx="49">
                  <c:v>Messkit</c:v>
                </c:pt>
                <c:pt idx="50">
                  <c:v>Sleeping Pad</c:v>
                </c:pt>
                <c:pt idx="51">
                  <c:v>Tripod Chair</c:v>
                </c:pt>
                <c:pt idx="52">
                  <c:v>Book</c:v>
                </c:pt>
                <c:pt idx="53">
                  <c:v>Watershoes</c:v>
                </c:pt>
                <c:pt idx="54">
                  <c:v>Trekking Poles</c:v>
                </c:pt>
                <c:pt idx="55">
                  <c:v>Dog Tether</c:v>
                </c:pt>
                <c:pt idx="56">
                  <c:v>Pants</c:v>
                </c:pt>
                <c:pt idx="57">
                  <c:v>Gun (Loaded)</c:v>
                </c:pt>
                <c:pt idx="58">
                  <c:v>Hammock w/ Mosquito Net</c:v>
                </c:pt>
                <c:pt idx="59">
                  <c:v>Tarp</c:v>
                </c:pt>
                <c:pt idx="60">
                  <c:v>Pair Boots</c:v>
                </c:pt>
                <c:pt idx="61">
                  <c:v>50 Degree Sleeping Bag</c:v>
                </c:pt>
                <c:pt idx="62">
                  <c:v>Horizon 3 Tent</c:v>
                </c:pt>
                <c:pt idx="63">
                  <c:v>Grand Total</c:v>
                </c:pt>
              </c:strCache>
            </c:strRef>
          </c:cat>
          <c:val>
            <c:numRef>
              <c:f>'By Item'!$B$4:$B$67</c:f>
              <c:numCache>
                <c:formatCode>General</c:formatCode>
                <c:ptCount val="64"/>
                <c:pt idx="0">
                  <c:v>0.2</c:v>
                </c:pt>
                <c:pt idx="1">
                  <c:v>0.4</c:v>
                </c:pt>
                <c:pt idx="2">
                  <c:v>0.7</c:v>
                </c:pt>
                <c:pt idx="3">
                  <c:v>0.79999999999999993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1.5999999999999999</c:v>
                </c:pt>
                <c:pt idx="15">
                  <c:v>1.7</c:v>
                </c:pt>
                <c:pt idx="16">
                  <c:v>1.8</c:v>
                </c:pt>
                <c:pt idx="17">
                  <c:v>2.4</c:v>
                </c:pt>
                <c:pt idx="18">
                  <c:v>2.9</c:v>
                </c:pt>
                <c:pt idx="19">
                  <c:v>3.1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3.3</c:v>
                </c:pt>
                <c:pt idx="24">
                  <c:v>3.7</c:v>
                </c:pt>
                <c:pt idx="25">
                  <c:v>4.0999999999999996</c:v>
                </c:pt>
                <c:pt idx="26">
                  <c:v>4.1999999999999993</c:v>
                </c:pt>
                <c:pt idx="27">
                  <c:v>4.2</c:v>
                </c:pt>
                <c:pt idx="28">
                  <c:v>4.2</c:v>
                </c:pt>
                <c:pt idx="29">
                  <c:v>4.3</c:v>
                </c:pt>
                <c:pt idx="30">
                  <c:v>4.3</c:v>
                </c:pt>
                <c:pt idx="31">
                  <c:v>4.8</c:v>
                </c:pt>
                <c:pt idx="32">
                  <c:v>4.8</c:v>
                </c:pt>
                <c:pt idx="33">
                  <c:v>5.6</c:v>
                </c:pt>
                <c:pt idx="34">
                  <c:v>6</c:v>
                </c:pt>
                <c:pt idx="35">
                  <c:v>6.1</c:v>
                </c:pt>
                <c:pt idx="36">
                  <c:v>6.1999999999999993</c:v>
                </c:pt>
                <c:pt idx="37">
                  <c:v>6.3</c:v>
                </c:pt>
                <c:pt idx="38">
                  <c:v>6.6</c:v>
                </c:pt>
                <c:pt idx="39">
                  <c:v>6.8</c:v>
                </c:pt>
                <c:pt idx="40">
                  <c:v>7</c:v>
                </c:pt>
                <c:pt idx="41">
                  <c:v>7</c:v>
                </c:pt>
                <c:pt idx="42">
                  <c:v>8</c:v>
                </c:pt>
                <c:pt idx="43">
                  <c:v>8.3000000000000007</c:v>
                </c:pt>
                <c:pt idx="44">
                  <c:v>8.6999999999999993</c:v>
                </c:pt>
                <c:pt idx="45">
                  <c:v>9.4</c:v>
                </c:pt>
                <c:pt idx="46">
                  <c:v>9.5</c:v>
                </c:pt>
                <c:pt idx="47">
                  <c:v>9.6</c:v>
                </c:pt>
                <c:pt idx="48">
                  <c:v>10</c:v>
                </c:pt>
                <c:pt idx="49">
                  <c:v>15.7</c:v>
                </c:pt>
                <c:pt idx="50">
                  <c:v>15.8</c:v>
                </c:pt>
                <c:pt idx="51">
                  <c:v>16</c:v>
                </c:pt>
                <c:pt idx="52">
                  <c:v>16.3</c:v>
                </c:pt>
                <c:pt idx="53">
                  <c:v>17.399999999999999</c:v>
                </c:pt>
                <c:pt idx="54">
                  <c:v>18.2</c:v>
                </c:pt>
                <c:pt idx="55">
                  <c:v>20.9</c:v>
                </c:pt>
                <c:pt idx="56">
                  <c:v>23.8</c:v>
                </c:pt>
                <c:pt idx="57">
                  <c:v>24.4</c:v>
                </c:pt>
                <c:pt idx="58">
                  <c:v>30.5</c:v>
                </c:pt>
                <c:pt idx="59">
                  <c:v>34.299999999999997</c:v>
                </c:pt>
                <c:pt idx="60">
                  <c:v>38.6</c:v>
                </c:pt>
                <c:pt idx="61">
                  <c:v>49.1</c:v>
                </c:pt>
                <c:pt idx="62">
                  <c:v>113.9</c:v>
                </c:pt>
                <c:pt idx="63">
                  <c:v>633.70000000000016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c:style val="2"/>
  <c:chart>
    <c:autoTitleDeleted val="1"/>
    <c:plotArea>
      <c:layout/>
      <c:pieChart>
        <c:varyColors val="1"/>
        <c:ser>
          <c:idx val="0"/>
          <c:order val="0"/>
          <c:tx>
            <c:strRef>
              <c:f>'By Category'!$B$3</c:f>
              <c:strCache>
                <c:ptCount val="1"/>
                <c:pt idx="0">
                  <c:v>Item</c:v>
                </c:pt>
              </c:strCache>
            </c:strRef>
          </c:tx>
          <c:dPt>
            <c:idx val="0"/>
            <c:bubble3D val="0"/>
            <c:spPr>
              <a:solidFill>
                <a:srgbClr val="4472C4"/>
              </a:solidFill>
            </c:spPr>
          </c:dPt>
          <c:dPt>
            <c:idx val="1"/>
            <c:bubble3D val="0"/>
            <c:spPr>
              <a:solidFill>
                <a:srgbClr val="ED7D31"/>
              </a:solidFill>
            </c:spPr>
          </c:dPt>
          <c:dPt>
            <c:idx val="2"/>
            <c:bubble3D val="0"/>
            <c:spPr>
              <a:solidFill>
                <a:srgbClr val="A5A5A5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Pt>
            <c:idx val="4"/>
            <c:bubble3D val="0"/>
            <c:spPr>
              <a:solidFill>
                <a:srgbClr val="5B9BD5"/>
              </a:solidFill>
            </c:spPr>
          </c:dPt>
          <c:dPt>
            <c:idx val="5"/>
            <c:bubble3D val="0"/>
            <c:spPr>
              <a:solidFill>
                <a:srgbClr val="70AD47"/>
              </a:solidFill>
            </c:spPr>
          </c:dPt>
          <c:dPt>
            <c:idx val="6"/>
            <c:bubble3D val="0"/>
            <c:spPr>
              <a:solidFill>
                <a:srgbClr val="1B2E4E"/>
              </a:solidFill>
            </c:spPr>
          </c:dPt>
          <c:dPt>
            <c:idx val="7"/>
            <c:bubble3D val="0"/>
            <c:spPr>
              <a:solidFill>
                <a:srgbClr val="5F3214"/>
              </a:solidFill>
            </c:spPr>
          </c:dPt>
          <c:dPt>
            <c:idx val="8"/>
            <c:bubble3D val="0"/>
            <c:spPr>
              <a:solidFill>
                <a:srgbClr val="424242"/>
              </a:solidFill>
            </c:spPr>
          </c:dPt>
          <c:dPt>
            <c:idx val="9"/>
            <c:bubble3D val="0"/>
            <c:spPr>
              <a:solidFill>
                <a:srgbClr val="664D00"/>
              </a:solidFill>
            </c:spPr>
          </c:dPt>
          <c:dPt>
            <c:idx val="10"/>
            <c:bubble3D val="0"/>
            <c:spPr>
              <a:solidFill>
                <a:srgbClr val="243E55"/>
              </a:solidFill>
            </c:spPr>
          </c:dPt>
          <c:dPt>
            <c:idx val="11"/>
            <c:bubble3D val="0"/>
            <c:spPr>
              <a:solidFill>
                <a:srgbClr val="7EB559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'By Category'!$A$4:$A$15</c:f>
              <c:strCache>
                <c:ptCount val="1"/>
                <c:pt idx="0">
                  <c:v>Clothes</c:v>
                </c:pt>
              </c:strCache>
            </c:strRef>
          </c:cat>
          <c:val>
            <c:numRef>
              <c:f>'By Category'!$B$4:$B$15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0</xdr:row>
      <xdr:rowOff>161925</xdr:rowOff>
    </xdr:from>
    <xdr:to>
      <xdr:col>12</xdr:col>
      <xdr:colOff>476250</xdr:colOff>
      <xdr:row>31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0</xdr:row>
      <xdr:rowOff>76200</xdr:rowOff>
    </xdr:from>
    <xdr:to>
      <xdr:col>14</xdr:col>
      <xdr:colOff>638175</xdr:colOff>
      <xdr:row>32</xdr:row>
      <xdr:rowOff>161925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1365935510N" refreshedDate="43024.419456018521" refreshedVersion="5" recordCount="70">
  <cacheSource type="worksheet">
    <worksheetSource ref="A3:G73" sheet="Data"/>
  </cacheSource>
  <cacheFields count="7">
    <cacheField name="Category" numFmtId="0">
      <sharedItems count="11">
        <s v="Clothes"/>
        <s v="Dog"/>
        <s v="Electronics"/>
        <s v="Emergency"/>
        <s v="Food"/>
        <s v="Gun"/>
        <s v="Hygeine"/>
        <s v="Other"/>
        <s v="Pack"/>
        <s v="Safety"/>
        <s v="Shelter"/>
      </sharedItems>
    </cacheField>
    <cacheField name="Item" numFmtId="0">
      <sharedItems count="70">
        <s v="Camo Multipurpose Neckroll"/>
        <s v="Lightweight Hat"/>
        <s v="Grip 6 Belt"/>
        <s v="Pair Socks"/>
        <s v="Underwear"/>
        <s v="Shirts"/>
        <s v="Pair Watershoes"/>
        <s v="Pants"/>
        <s v="Pair Boots"/>
        <s v="Hat"/>
        <s v="Gun Belt"/>
        <s v="Belt"/>
        <s v="Dog Water Bowl"/>
        <s v="Dog Food Bowl"/>
        <s v="Dog Leash"/>
        <s v="Dog Tether"/>
        <s v="Retracting USB Cable"/>
        <s v="Fitbit"/>
        <s v="USB Lipstick Charger"/>
        <s v="Phone"/>
        <s v="Sectioned Pill Box"/>
        <s v="Fox 40 Whistle w/ Clip"/>
        <s v="Steel and Magnesium Fire Starter"/>
        <s v="Storm Proof Matches Case (Full)"/>
        <s v="Paracord 50 ft"/>
        <s v="Ultralight Watertight First Aid Kit"/>
        <s v="Pill Box"/>
        <s v="First Aid Kit"/>
        <s v="Fuel Canister Stand"/>
        <s v="MSR PocketRocket 2 Stove"/>
        <s v="Granola Bars"/>
        <s v="Mountain House"/>
        <s v="Cliff Bars"/>
        <s v="Messkit"/>
        <s v="Plastic Flatware"/>
        <s v="Metal Flatware w/ Case"/>
        <s v="Holster"/>
        <s v="Magazine (Loaded)"/>
        <s v="Gun w/ Magazine (Loaded)"/>
        <s v="Lightweight Potty Trowel"/>
        <s v="Hand Sanitizer"/>
        <s v="Biodegradable Wash Towels"/>
        <s v="Hand Towel"/>
        <s v="Potty Trowel"/>
        <s v="Cards"/>
        <s v="Keys"/>
        <s v="Book"/>
        <s v="Dakine Stuff Sack"/>
        <s v="Red Carabiner (Large)"/>
        <s v="Hard Glasses Case"/>
        <s v="2 ft Bungee Cord"/>
        <s v="Waterproof Phone Case"/>
        <s v="Osprey Atmos Pack (50L)"/>
        <s v="Ozark Trail Backpack (45L)"/>
        <s v="Gold Carabiner (Med)"/>
        <s v="Blue Carabiner (Small)"/>
        <s v="3 ft Bungee Cord"/>
        <s v="Insect Repellent Wristband"/>
        <s v="Glasses"/>
        <s v="Sawyer 32 oz Bag"/>
        <s v="Sawyer Cleaning Syringe"/>
        <s v="Sunglasses"/>
        <s v="Headlamp"/>
        <s v="Sawyer Insect Repellent"/>
        <s v="Sawyer Filter w/ Tips"/>
        <s v="XML-T6 Flashlight"/>
        <s v="Trekking Poles"/>
        <s v="Thermacell w/ Butane and Wafers"/>
        <s v="Large Can of Repel Insect Repellent"/>
        <s v="Morrison 2 Footprint"/>
      </sharedItems>
    </cacheField>
    <cacheField name="Weight - lbs" numFmtId="1">
      <sharedItems containsString="0" containsBlank="1" containsNumber="1" containsInteger="1" minValue="0" maxValue="3"/>
    </cacheField>
    <cacheField name="Weight - oz" numFmtId="164">
      <sharedItems containsString="0" containsBlank="1" containsNumber="1" minValue="0.2" maxValue="15.7"/>
    </cacheField>
    <cacheField name="Quantity Owned" numFmtId="1">
      <sharedItems containsBlank="1" containsMixedTypes="1" containsNumber="1" containsInteger="1" minValue="0" maxValue="3"/>
    </cacheField>
    <cacheField name="Quantity Packing" numFmtId="1">
      <sharedItems containsString="0" containsBlank="1" containsNumber="1" containsInteger="1" minValue="0" maxValue="4"/>
    </cacheField>
    <cacheField name="Total oz" numFmtId="0">
      <sharedItems containsSemiMixedTypes="0" containsString="0" containsNumber="1" minValue="0" maxValue="38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">
  <r>
    <x v="0"/>
    <x v="0"/>
    <n v="0"/>
    <n v="1.3"/>
    <n v="1"/>
    <n v="1"/>
    <n v="1.3"/>
  </r>
  <r>
    <x v="0"/>
    <x v="1"/>
    <n v="0"/>
    <n v="2.2999999999999998"/>
    <n v="1"/>
    <n v="1"/>
    <n v="2.2999999999999998"/>
  </r>
  <r>
    <x v="0"/>
    <x v="2"/>
    <n v="0"/>
    <n v="2.8"/>
    <n v="1"/>
    <n v="1"/>
    <n v="2.8"/>
  </r>
  <r>
    <x v="0"/>
    <x v="3"/>
    <n v="0"/>
    <n v="1.4"/>
    <n v="3"/>
    <n v="3"/>
    <n v="4.1999999999999993"/>
  </r>
  <r>
    <x v="0"/>
    <x v="4"/>
    <n v="0"/>
    <n v="2.9"/>
    <s v="∞"/>
    <n v="3"/>
    <n v="8.6999999999999993"/>
  </r>
  <r>
    <x v="0"/>
    <x v="5"/>
    <n v="0"/>
    <n v="9.6"/>
    <n v="1"/>
    <n v="1"/>
    <n v="9.6"/>
  </r>
  <r>
    <x v="0"/>
    <x v="6"/>
    <n v="1"/>
    <n v="1.4"/>
    <n v="1"/>
    <n v="1"/>
    <n v="17.399999999999999"/>
  </r>
  <r>
    <x v="0"/>
    <x v="7"/>
    <n v="0"/>
    <n v="11.9"/>
    <n v="2"/>
    <n v="2"/>
    <n v="23.8"/>
  </r>
  <r>
    <x v="0"/>
    <x v="8"/>
    <n v="2"/>
    <n v="6.6"/>
    <n v="1"/>
    <n v="1"/>
    <n v="38.6"/>
  </r>
  <r>
    <x v="0"/>
    <x v="9"/>
    <n v="0"/>
    <n v="3.3"/>
    <n v="1"/>
    <n v="0"/>
    <n v="0"/>
  </r>
  <r>
    <x v="0"/>
    <x v="10"/>
    <n v="0"/>
    <n v="9.4"/>
    <n v="1"/>
    <n v="0"/>
    <n v="0"/>
  </r>
  <r>
    <x v="0"/>
    <x v="11"/>
    <n v="0"/>
    <n v="6.3"/>
    <n v="1"/>
    <n v="0"/>
    <n v="0"/>
  </r>
  <r>
    <x v="1"/>
    <x v="12"/>
    <n v="0"/>
    <n v="4.0999999999999996"/>
    <n v="1"/>
    <n v="1"/>
    <n v="4.0999999999999996"/>
  </r>
  <r>
    <x v="1"/>
    <x v="13"/>
    <n v="0"/>
    <n v="4.2"/>
    <n v="1"/>
    <n v="1"/>
    <n v="4.2"/>
  </r>
  <r>
    <x v="1"/>
    <x v="14"/>
    <n v="0"/>
    <n v="6.1"/>
    <n v="1"/>
    <n v="1"/>
    <n v="6.1"/>
  </r>
  <r>
    <x v="1"/>
    <x v="15"/>
    <n v="1"/>
    <n v="4.9000000000000004"/>
    <n v="1"/>
    <n v="1"/>
    <n v="20.9"/>
  </r>
  <r>
    <x v="2"/>
    <x v="16"/>
    <n v="0"/>
    <n v="0.7"/>
    <n v="1"/>
    <n v="1"/>
    <n v="0.7"/>
  </r>
  <r>
    <x v="2"/>
    <x v="17"/>
    <n v="0"/>
    <n v="1.2"/>
    <n v="1"/>
    <n v="1"/>
    <n v="1.2"/>
  </r>
  <r>
    <x v="2"/>
    <x v="18"/>
    <n v="0"/>
    <n v="2.9"/>
    <n v="1"/>
    <n v="1"/>
    <n v="2.9"/>
  </r>
  <r>
    <x v="2"/>
    <x v="19"/>
    <n v="0"/>
    <n v="6.8"/>
    <n v="1"/>
    <n v="1"/>
    <n v="6.8"/>
  </r>
  <r>
    <x v="3"/>
    <x v="20"/>
    <n v="0"/>
    <n v="0.4"/>
    <n v="1"/>
    <n v="1"/>
    <n v="0.4"/>
  </r>
  <r>
    <x v="3"/>
    <x v="21"/>
    <n v="0"/>
    <n v="0.9"/>
    <n v="1"/>
    <n v="1"/>
    <n v="0.9"/>
  </r>
  <r>
    <x v="3"/>
    <x v="22"/>
    <n v="0"/>
    <n v="1.7"/>
    <n v="1"/>
    <n v="1"/>
    <n v="1.7"/>
  </r>
  <r>
    <x v="3"/>
    <x v="23"/>
    <n v="0"/>
    <n v="1.8"/>
    <n v="1"/>
    <n v="1"/>
    <n v="1.8"/>
  </r>
  <r>
    <x v="3"/>
    <x v="24"/>
    <n v="0"/>
    <n v="3.7"/>
    <n v="1"/>
    <n v="1"/>
    <n v="3.7"/>
  </r>
  <r>
    <x v="3"/>
    <x v="25"/>
    <n v="0"/>
    <n v="5"/>
    <n v="0"/>
    <n v="1"/>
    <n v="5"/>
  </r>
  <r>
    <x v="3"/>
    <x v="26"/>
    <n v="0"/>
    <n v="0.2"/>
    <n v="1"/>
    <n v="0"/>
    <n v="0"/>
  </r>
  <r>
    <x v="3"/>
    <x v="27"/>
    <n v="0"/>
    <n v="8.3000000000000007"/>
    <n v="1"/>
    <n v="0"/>
    <n v="0"/>
  </r>
  <r>
    <x v="4"/>
    <x v="28"/>
    <n v="0"/>
    <n v="1.1000000000000001"/>
    <n v="1"/>
    <n v="1"/>
    <n v="1.1000000000000001"/>
  </r>
  <r>
    <x v="4"/>
    <x v="29"/>
    <n v="0"/>
    <n v="2.6"/>
    <n v="0"/>
    <n v="1"/>
    <n v="2.6"/>
  </r>
  <r>
    <x v="4"/>
    <x v="30"/>
    <n v="0"/>
    <n v="1.4"/>
    <s v="∞"/>
    <n v="4"/>
    <n v="5.6"/>
  </r>
  <r>
    <x v="4"/>
    <x v="31"/>
    <n v="0"/>
    <n v="3.5"/>
    <s v="∞"/>
    <n v="2"/>
    <n v="7"/>
  </r>
  <r>
    <x v="4"/>
    <x v="32"/>
    <n v="0"/>
    <n v="2.5"/>
    <s v="∞"/>
    <n v="4"/>
    <n v="10"/>
  </r>
  <r>
    <x v="4"/>
    <x v="33"/>
    <n v="0"/>
    <n v="15.7"/>
    <n v="1"/>
    <n v="1"/>
    <n v="15.7"/>
  </r>
  <r>
    <x v="4"/>
    <x v="34"/>
    <n v="0"/>
    <n v="1"/>
    <n v="3"/>
    <n v="0"/>
    <n v="0"/>
  </r>
  <r>
    <x v="4"/>
    <x v="35"/>
    <n v="0"/>
    <n v="3.1"/>
    <n v="1"/>
    <n v="0"/>
    <n v="0"/>
  </r>
  <r>
    <x v="5"/>
    <x v="36"/>
    <n v="0"/>
    <n v="3.2"/>
    <n v="1"/>
    <n v="0"/>
    <n v="0"/>
  </r>
  <r>
    <x v="5"/>
    <x v="37"/>
    <n v="0"/>
    <n v="6.3"/>
    <n v="1"/>
    <n v="0"/>
    <n v="0"/>
  </r>
  <r>
    <x v="5"/>
    <x v="38"/>
    <n v="1"/>
    <n v="8.4"/>
    <n v="1"/>
    <n v="0"/>
    <n v="0"/>
  </r>
  <r>
    <x v="6"/>
    <x v="39"/>
    <n v="0"/>
    <n v="0.6"/>
    <n v="0"/>
    <n v="1"/>
    <n v="0.6"/>
  </r>
  <r>
    <x v="6"/>
    <x v="40"/>
    <n v="0"/>
    <n v="3.2"/>
    <n v="1"/>
    <n v="1"/>
    <n v="3.2"/>
  </r>
  <r>
    <x v="6"/>
    <x v="41"/>
    <n v="0"/>
    <n v="4.3"/>
    <n v="1"/>
    <n v="1"/>
    <n v="4.3"/>
  </r>
  <r>
    <x v="6"/>
    <x v="42"/>
    <n v="0"/>
    <n v="3.3"/>
    <n v="2"/>
    <n v="2"/>
    <n v="6.6"/>
  </r>
  <r>
    <x v="6"/>
    <x v="43"/>
    <n v="0"/>
    <n v="4.3"/>
    <n v="1"/>
    <n v="0"/>
    <n v="0"/>
  </r>
  <r>
    <x v="7"/>
    <x v="44"/>
    <n v="0"/>
    <n v="0.8"/>
    <n v="1"/>
    <n v="1"/>
    <n v="0.8"/>
  </r>
  <r>
    <x v="7"/>
    <x v="45"/>
    <n v="0"/>
    <n v="2.4"/>
    <n v="1"/>
    <n v="1"/>
    <n v="2.4"/>
  </r>
  <r>
    <x v="7"/>
    <x v="46"/>
    <n v="1"/>
    <n v="0.3"/>
    <n v="1"/>
    <n v="0"/>
    <n v="0"/>
  </r>
  <r>
    <x v="8"/>
    <x v="47"/>
    <n v="0"/>
    <n v="1"/>
    <n v="1"/>
    <n v="1"/>
    <n v="1"/>
  </r>
  <r>
    <x v="8"/>
    <x v="48"/>
    <n v="0"/>
    <n v="0.79999999999999993"/>
    <n v="2"/>
    <n v="2"/>
    <n v="1.5999999999999999"/>
  </r>
  <r>
    <x v="8"/>
    <x v="49"/>
    <n v="0"/>
    <n v="4.2"/>
    <n v="1"/>
    <n v="1"/>
    <n v="4.2"/>
  </r>
  <r>
    <x v="8"/>
    <x v="50"/>
    <n v="0"/>
    <n v="2.4"/>
    <n v="2"/>
    <n v="2"/>
    <n v="4.8"/>
  </r>
  <r>
    <x v="8"/>
    <x v="51"/>
    <n v="0"/>
    <n v="6"/>
    <n v="1"/>
    <n v="1"/>
    <n v="6"/>
  </r>
  <r>
    <x v="8"/>
    <x v="52"/>
    <n v="1"/>
    <n v="8"/>
    <n v="0"/>
    <n v="1"/>
    <n v="24"/>
  </r>
  <r>
    <x v="8"/>
    <x v="53"/>
    <n v="3"/>
    <n v="2.6"/>
    <n v="1"/>
    <n v="0"/>
    <n v="0"/>
  </r>
  <r>
    <x v="8"/>
    <x v="54"/>
    <n v="0"/>
    <n v="0.3"/>
    <n v="2"/>
    <n v="0"/>
    <n v="0"/>
  </r>
  <r>
    <x v="8"/>
    <x v="55"/>
    <n v="0"/>
    <n v="0.2"/>
    <n v="2"/>
    <n v="0"/>
    <n v="0"/>
  </r>
  <r>
    <x v="8"/>
    <x v="56"/>
    <n v="0"/>
    <n v="3.8"/>
    <n v="2"/>
    <n v="0"/>
    <n v="0"/>
  </r>
  <r>
    <x v="9"/>
    <x v="57"/>
    <m/>
    <m/>
    <m/>
    <m/>
    <n v="0"/>
  </r>
  <r>
    <x v="9"/>
    <x v="58"/>
    <n v="0"/>
    <n v="0.79999999999999993"/>
    <n v="1"/>
    <n v="1"/>
    <n v="0.79999999999999993"/>
  </r>
  <r>
    <x v="9"/>
    <x v="59"/>
    <n v="0"/>
    <n v="1"/>
    <n v="1"/>
    <n v="1"/>
    <n v="1"/>
  </r>
  <r>
    <x v="9"/>
    <x v="60"/>
    <n v="0"/>
    <n v="1.1000000000000001"/>
    <n v="1"/>
    <n v="1"/>
    <n v="1.1000000000000001"/>
  </r>
  <r>
    <x v="9"/>
    <x v="61"/>
    <n v="0"/>
    <n v="1.2000000000000002"/>
    <n v="1"/>
    <n v="1"/>
    <n v="1.2000000000000002"/>
  </r>
  <r>
    <x v="9"/>
    <x v="62"/>
    <n v="0"/>
    <n v="3.2"/>
    <n v="1"/>
    <n v="1"/>
    <n v="3.2"/>
  </r>
  <r>
    <x v="9"/>
    <x v="63"/>
    <n v="0"/>
    <n v="4"/>
    <n v="0"/>
    <n v="1"/>
    <n v="4"/>
  </r>
  <r>
    <x v="9"/>
    <x v="64"/>
    <n v="0"/>
    <n v="4.8"/>
    <n v="1"/>
    <n v="1"/>
    <n v="4.8"/>
  </r>
  <r>
    <x v="9"/>
    <x v="65"/>
    <n v="0"/>
    <n v="6.1999999999999993"/>
    <n v="1"/>
    <n v="1"/>
    <n v="6.1999999999999993"/>
  </r>
  <r>
    <x v="9"/>
    <x v="66"/>
    <n v="0"/>
    <n v="9.1"/>
    <n v="2"/>
    <n v="2"/>
    <n v="18.2"/>
  </r>
  <r>
    <x v="9"/>
    <x v="67"/>
    <n v="0"/>
    <n v="7"/>
    <n v="1"/>
    <n v="0"/>
    <n v="0"/>
  </r>
  <r>
    <x v="9"/>
    <x v="68"/>
    <n v="0"/>
    <n v="8"/>
    <n v="1"/>
    <n v="0"/>
    <n v="0"/>
  </r>
  <r>
    <x v="10"/>
    <x v="69"/>
    <n v="0"/>
    <n v="8.8000000000000007"/>
    <n v="0"/>
    <n v="1"/>
    <n v="8.80000000000000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By Category" cacheId="4" applyNumberFormats="0" applyBorderFormats="0" applyFontFormats="0" applyPatternFormats="0" applyAlignmentFormats="0" applyWidthHeightFormats="0" dataCaption="" updatedVersion="5">
  <location ref="A3:C85" firstHeaderRow="1" firstDataRow="1" firstDataCol="2"/>
  <pivotFields count="7">
    <pivotField name="Category" axis="axisRow" outline="0" multipleItemSelectionAllowed="1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ame="Item" axis="axisRow" outline="0" multipleItemSelectionAllowed="1" showAll="0" sortType="ascending">
      <items count="71">
        <item x="50"/>
        <item x="56"/>
        <item x="11"/>
        <item x="41"/>
        <item x="55"/>
        <item x="46"/>
        <item x="0"/>
        <item x="44"/>
        <item x="32"/>
        <item x="47"/>
        <item x="13"/>
        <item x="14"/>
        <item x="15"/>
        <item x="12"/>
        <item x="27"/>
        <item x="17"/>
        <item x="21"/>
        <item x="28"/>
        <item x="58"/>
        <item x="54"/>
        <item x="30"/>
        <item x="2"/>
        <item x="10"/>
        <item x="38"/>
        <item x="40"/>
        <item x="42"/>
        <item x="49"/>
        <item x="9"/>
        <item x="62"/>
        <item x="36"/>
        <item x="57"/>
        <item x="45"/>
        <item x="68"/>
        <item x="1"/>
        <item x="39"/>
        <item x="37"/>
        <item x="33"/>
        <item x="35"/>
        <item x="69"/>
        <item x="31"/>
        <item x="29"/>
        <item x="52"/>
        <item x="53"/>
        <item x="8"/>
        <item x="3"/>
        <item x="6"/>
        <item x="7"/>
        <item x="24"/>
        <item x="19"/>
        <item x="26"/>
        <item x="34"/>
        <item x="43"/>
        <item x="48"/>
        <item x="16"/>
        <item x="59"/>
        <item x="60"/>
        <item x="64"/>
        <item x="63"/>
        <item x="20"/>
        <item x="5"/>
        <item x="22"/>
        <item x="23"/>
        <item x="61"/>
        <item x="67"/>
        <item x="66"/>
        <item x="25"/>
        <item x="4"/>
        <item x="18"/>
        <item x="51"/>
        <item x="65"/>
        <item t="default"/>
      </items>
    </pivotField>
    <pivotField name="Weight - lbs" numFmtId="1" outline="0" multipleItemSelectionAllowed="1" showAll="0"/>
    <pivotField name="Weight - oz" numFmtId="164" outline="0" multipleItemSelectionAllowed="1" showAll="0"/>
    <pivotField name="Quantity Owned" outline="0" multipleItemSelectionAllowed="1" showAll="0"/>
    <pivotField name="Quantity Packing" numFmtId="1" outline="0" multipleItemSelectionAllowed="1" showAll="0"/>
    <pivotField name="Total oz" dataField="1" outline="0" multipleItemSelectionAllowed="1" showAll="0"/>
  </pivotFields>
  <rowFields count="2">
    <field x="0"/>
    <field x="1"/>
  </rowFields>
  <rowItems count="82">
    <i>
      <x/>
      <x v="2"/>
    </i>
    <i r="1">
      <x v="6"/>
    </i>
    <i r="1">
      <x v="21"/>
    </i>
    <i r="1">
      <x v="22"/>
    </i>
    <i r="1">
      <x v="27"/>
    </i>
    <i r="1">
      <x v="33"/>
    </i>
    <i r="1">
      <x v="43"/>
    </i>
    <i r="1">
      <x v="44"/>
    </i>
    <i r="1">
      <x v="45"/>
    </i>
    <i r="1">
      <x v="46"/>
    </i>
    <i r="1">
      <x v="59"/>
    </i>
    <i r="1">
      <x v="66"/>
    </i>
    <i t="default">
      <x/>
    </i>
    <i>
      <x v="1"/>
      <x v="10"/>
    </i>
    <i r="1">
      <x v="11"/>
    </i>
    <i r="1">
      <x v="12"/>
    </i>
    <i r="1">
      <x v="13"/>
    </i>
    <i t="default">
      <x v="1"/>
    </i>
    <i>
      <x v="2"/>
      <x v="15"/>
    </i>
    <i r="1">
      <x v="48"/>
    </i>
    <i r="1">
      <x v="53"/>
    </i>
    <i r="1">
      <x v="67"/>
    </i>
    <i t="default">
      <x v="2"/>
    </i>
    <i>
      <x v="3"/>
      <x v="14"/>
    </i>
    <i r="1">
      <x v="16"/>
    </i>
    <i r="1">
      <x v="47"/>
    </i>
    <i r="1">
      <x v="49"/>
    </i>
    <i r="1">
      <x v="58"/>
    </i>
    <i r="1">
      <x v="60"/>
    </i>
    <i r="1">
      <x v="61"/>
    </i>
    <i r="1">
      <x v="65"/>
    </i>
    <i t="default">
      <x v="3"/>
    </i>
    <i>
      <x v="4"/>
      <x v="8"/>
    </i>
    <i r="1">
      <x v="17"/>
    </i>
    <i r="1">
      <x v="20"/>
    </i>
    <i r="1">
      <x v="36"/>
    </i>
    <i r="1">
      <x v="37"/>
    </i>
    <i r="1">
      <x v="39"/>
    </i>
    <i r="1">
      <x v="40"/>
    </i>
    <i r="1">
      <x v="50"/>
    </i>
    <i t="default">
      <x v="4"/>
    </i>
    <i>
      <x v="5"/>
      <x v="23"/>
    </i>
    <i r="1">
      <x v="29"/>
    </i>
    <i r="1">
      <x v="35"/>
    </i>
    <i t="default">
      <x v="5"/>
    </i>
    <i>
      <x v="6"/>
      <x v="3"/>
    </i>
    <i r="1">
      <x v="24"/>
    </i>
    <i r="1">
      <x v="25"/>
    </i>
    <i r="1">
      <x v="34"/>
    </i>
    <i r="1">
      <x v="51"/>
    </i>
    <i t="default">
      <x v="6"/>
    </i>
    <i>
      <x v="7"/>
      <x v="5"/>
    </i>
    <i r="1">
      <x v="7"/>
    </i>
    <i r="1">
      <x v="31"/>
    </i>
    <i t="default">
      <x v="7"/>
    </i>
    <i>
      <x v="8"/>
      <x/>
    </i>
    <i r="1">
      <x v="1"/>
    </i>
    <i r="1">
      <x v="4"/>
    </i>
    <i r="1">
      <x v="9"/>
    </i>
    <i r="1">
      <x v="19"/>
    </i>
    <i r="1">
      <x v="26"/>
    </i>
    <i r="1">
      <x v="41"/>
    </i>
    <i r="1">
      <x v="42"/>
    </i>
    <i r="1">
      <x v="52"/>
    </i>
    <i r="1">
      <x v="68"/>
    </i>
    <i t="default">
      <x v="8"/>
    </i>
    <i>
      <x v="9"/>
      <x v="18"/>
    </i>
    <i r="1">
      <x v="28"/>
    </i>
    <i r="1">
      <x v="30"/>
    </i>
    <i r="1">
      <x v="32"/>
    </i>
    <i r="1">
      <x v="54"/>
    </i>
    <i r="1">
      <x v="55"/>
    </i>
    <i r="1">
      <x v="56"/>
    </i>
    <i r="1">
      <x v="57"/>
    </i>
    <i r="1">
      <x v="62"/>
    </i>
    <i r="1">
      <x v="63"/>
    </i>
    <i r="1">
      <x v="64"/>
    </i>
    <i r="1">
      <x v="69"/>
    </i>
    <i t="default">
      <x v="9"/>
    </i>
    <i>
      <x v="10"/>
      <x v="38"/>
    </i>
    <i t="default">
      <x v="10"/>
    </i>
    <i t="grand">
      <x/>
    </i>
  </rowItems>
  <colItems count="1">
    <i/>
  </colItems>
  <dataFields count="1">
    <dataField name="SUM of Total oz" fld="6" baseField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9"/>
  <sheetViews>
    <sheetView tabSelected="1" topLeftCell="A67" workbookViewId="0">
      <selection activeCell="J82" sqref="J82"/>
    </sheetView>
  </sheetViews>
  <sheetFormatPr defaultColWidth="12.6640625" defaultRowHeight="15" customHeight="1" x14ac:dyDescent="0.2"/>
  <cols>
    <col min="1" max="1" width="15.6640625" customWidth="1"/>
    <col min="2" max="2" width="30.6640625" customWidth="1"/>
    <col min="3" max="6" width="15.88671875" customWidth="1"/>
    <col min="7" max="7" width="8.88671875" hidden="1" customWidth="1"/>
    <col min="8" max="8" width="16.109375" bestFit="1" customWidth="1"/>
    <col min="9" max="11" width="8.88671875" customWidth="1"/>
  </cols>
  <sheetData>
    <row r="1" spans="1:11" ht="20.25" x14ac:dyDescent="0.2">
      <c r="A1" s="13" t="s">
        <v>0</v>
      </c>
      <c r="B1" s="13" t="s">
        <v>1</v>
      </c>
      <c r="C1" s="13" t="s">
        <v>2</v>
      </c>
      <c r="D1" s="14"/>
      <c r="E1" s="13" t="s">
        <v>3</v>
      </c>
      <c r="F1" s="14"/>
      <c r="G1" s="13" t="s">
        <v>4</v>
      </c>
      <c r="H1" s="14"/>
      <c r="I1" s="2"/>
      <c r="J1" s="3"/>
      <c r="K1" s="3" t="s">
        <v>5</v>
      </c>
    </row>
    <row r="2" spans="1:11" ht="20.25" x14ac:dyDescent="0.2">
      <c r="A2" s="14"/>
      <c r="B2" s="14"/>
      <c r="C2" s="1" t="s">
        <v>6</v>
      </c>
      <c r="D2" s="1" t="s">
        <v>7</v>
      </c>
      <c r="E2" s="1" t="s">
        <v>8</v>
      </c>
      <c r="F2" s="1" t="s">
        <v>9</v>
      </c>
      <c r="G2" s="14"/>
      <c r="H2" s="14"/>
      <c r="I2" s="2"/>
      <c r="J2" s="3"/>
      <c r="K2" s="3"/>
    </row>
    <row r="3" spans="1:11" ht="20.25" hidden="1" x14ac:dyDescent="0.2">
      <c r="A3" s="1" t="s">
        <v>0</v>
      </c>
      <c r="B3" s="1" t="s">
        <v>1</v>
      </c>
      <c r="C3" s="1" t="s">
        <v>10</v>
      </c>
      <c r="D3" s="1" t="s">
        <v>11</v>
      </c>
      <c r="E3" s="1" t="s">
        <v>12</v>
      </c>
      <c r="F3" s="1" t="s">
        <v>13</v>
      </c>
      <c r="G3" s="1" t="s">
        <v>14</v>
      </c>
      <c r="H3" s="1" t="s">
        <v>4</v>
      </c>
      <c r="I3" s="2"/>
      <c r="J3" s="3"/>
      <c r="K3" s="3"/>
    </row>
    <row r="4" spans="1:11" x14ac:dyDescent="0.2">
      <c r="A4" s="3" t="s">
        <v>15</v>
      </c>
      <c r="B4" s="3" t="s">
        <v>16</v>
      </c>
      <c r="C4" s="4">
        <v>0</v>
      </c>
      <c r="D4" s="5">
        <v>1.3</v>
      </c>
      <c r="E4" s="4">
        <v>1</v>
      </c>
      <c r="F4" s="4">
        <v>1</v>
      </c>
      <c r="G4" s="3">
        <f t="shared" ref="G4:G89" si="0">((C4*16)+D4)*F4</f>
        <v>1.3</v>
      </c>
      <c r="H4" s="3" t="str">
        <f t="shared" ref="H4:H89" si="1">IF(G4&gt;15,CONCATENATE(ROUNDDOWN(G4/16,0)," lbs. ",ROUNDDOWN(G4-(ROUNDDOWN(G4/16,0))*16,1)," oz."),CONCATENATE(G4," oz."))</f>
        <v>1.3 oz.</v>
      </c>
      <c r="I4" s="2"/>
      <c r="J4" s="6"/>
      <c r="K4" s="6"/>
    </row>
    <row r="5" spans="1:11" x14ac:dyDescent="0.2">
      <c r="A5" s="3" t="s">
        <v>15</v>
      </c>
      <c r="B5" s="3" t="s">
        <v>17</v>
      </c>
      <c r="C5" s="4">
        <v>0</v>
      </c>
      <c r="D5" s="5">
        <v>2.2999999999999998</v>
      </c>
      <c r="E5" s="4">
        <v>1</v>
      </c>
      <c r="F5" s="4">
        <v>1</v>
      </c>
      <c r="G5" s="3">
        <f t="shared" si="0"/>
        <v>2.2999999999999998</v>
      </c>
      <c r="H5" s="3" t="str">
        <f t="shared" si="1"/>
        <v>2.3 oz.</v>
      </c>
      <c r="I5" s="2"/>
      <c r="J5" s="6"/>
      <c r="K5" s="6"/>
    </row>
    <row r="6" spans="1:11" x14ac:dyDescent="0.2">
      <c r="A6" s="3" t="s">
        <v>15</v>
      </c>
      <c r="B6" s="3" t="s">
        <v>18</v>
      </c>
      <c r="C6" s="4">
        <v>0</v>
      </c>
      <c r="D6" s="5">
        <v>2.8</v>
      </c>
      <c r="E6" s="4">
        <v>1</v>
      </c>
      <c r="F6" s="4">
        <v>1</v>
      </c>
      <c r="G6" s="3">
        <f t="shared" si="0"/>
        <v>2.8</v>
      </c>
      <c r="H6" s="3" t="str">
        <f t="shared" si="1"/>
        <v>2.8 oz.</v>
      </c>
      <c r="I6" s="2"/>
      <c r="J6" s="6"/>
      <c r="K6" s="6"/>
    </row>
    <row r="7" spans="1:11" x14ac:dyDescent="0.2">
      <c r="A7" s="3" t="s">
        <v>15</v>
      </c>
      <c r="B7" s="3" t="s">
        <v>19</v>
      </c>
      <c r="C7" s="4">
        <v>0</v>
      </c>
      <c r="D7" s="5">
        <v>1.4</v>
      </c>
      <c r="E7" s="4">
        <v>3</v>
      </c>
      <c r="F7" s="4">
        <v>3</v>
      </c>
      <c r="G7" s="3">
        <f t="shared" si="0"/>
        <v>4.1999999999999993</v>
      </c>
      <c r="H7" s="3" t="str">
        <f t="shared" si="1"/>
        <v>4.2 oz.</v>
      </c>
      <c r="I7" s="2"/>
      <c r="J7" s="6"/>
      <c r="K7" s="6"/>
    </row>
    <row r="8" spans="1:11" x14ac:dyDescent="0.2">
      <c r="A8" s="3" t="s">
        <v>15</v>
      </c>
      <c r="B8" s="3" t="s">
        <v>20</v>
      </c>
      <c r="C8" s="4">
        <v>0</v>
      </c>
      <c r="D8" s="5">
        <v>2.9</v>
      </c>
      <c r="E8" s="4" t="s">
        <v>21</v>
      </c>
      <c r="F8" s="4">
        <v>3</v>
      </c>
      <c r="G8" s="3">
        <f t="shared" si="0"/>
        <v>8.6999999999999993</v>
      </c>
      <c r="H8" s="3" t="str">
        <f t="shared" si="1"/>
        <v>8.7 oz.</v>
      </c>
      <c r="I8" s="2"/>
      <c r="J8" s="6"/>
      <c r="K8" s="6"/>
    </row>
    <row r="9" spans="1:11" x14ac:dyDescent="0.2">
      <c r="A9" s="3" t="s">
        <v>15</v>
      </c>
      <c r="B9" s="3" t="s">
        <v>22</v>
      </c>
      <c r="C9" s="4">
        <v>0</v>
      </c>
      <c r="D9" s="5">
        <v>9.6</v>
      </c>
      <c r="E9" s="4">
        <v>1</v>
      </c>
      <c r="F9" s="4">
        <v>1</v>
      </c>
      <c r="G9" s="3">
        <f t="shared" si="0"/>
        <v>9.6</v>
      </c>
      <c r="H9" s="3" t="str">
        <f t="shared" si="1"/>
        <v>9.6 oz.</v>
      </c>
      <c r="I9" s="2"/>
      <c r="J9" s="6"/>
      <c r="K9" s="6"/>
    </row>
    <row r="10" spans="1:11" x14ac:dyDescent="0.2">
      <c r="A10" s="3" t="s">
        <v>15</v>
      </c>
      <c r="B10" s="3" t="s">
        <v>23</v>
      </c>
      <c r="C10" s="4">
        <v>1</v>
      </c>
      <c r="D10" s="5">
        <v>1.4</v>
      </c>
      <c r="E10" s="4">
        <v>1</v>
      </c>
      <c r="F10" s="4">
        <v>1</v>
      </c>
      <c r="G10" s="3">
        <f t="shared" si="0"/>
        <v>17.399999999999999</v>
      </c>
      <c r="H10" s="3" t="str">
        <f t="shared" si="1"/>
        <v>1 lbs. 1.4 oz.</v>
      </c>
      <c r="I10" s="2"/>
      <c r="J10" s="6"/>
      <c r="K10" s="6"/>
    </row>
    <row r="11" spans="1:11" x14ac:dyDescent="0.2">
      <c r="A11" s="3" t="s">
        <v>15</v>
      </c>
      <c r="B11" s="3" t="s">
        <v>24</v>
      </c>
      <c r="C11" s="4">
        <v>0</v>
      </c>
      <c r="D11" s="5">
        <v>11.9</v>
      </c>
      <c r="E11" s="4">
        <v>2</v>
      </c>
      <c r="F11" s="4">
        <v>2</v>
      </c>
      <c r="G11" s="3">
        <f t="shared" si="0"/>
        <v>23.8</v>
      </c>
      <c r="H11" s="3" t="str">
        <f t="shared" si="1"/>
        <v>1 lbs. 7.8 oz.</v>
      </c>
      <c r="I11" s="2"/>
      <c r="J11" s="6"/>
      <c r="K11" s="6"/>
    </row>
    <row r="12" spans="1:11" x14ac:dyDescent="0.2">
      <c r="A12" s="3" t="s">
        <v>15</v>
      </c>
      <c r="B12" s="3" t="s">
        <v>25</v>
      </c>
      <c r="C12" s="4">
        <v>2</v>
      </c>
      <c r="D12" s="5">
        <v>6.6</v>
      </c>
      <c r="E12" s="4">
        <v>1</v>
      </c>
      <c r="F12" s="4">
        <v>1</v>
      </c>
      <c r="G12" s="3">
        <f t="shared" si="0"/>
        <v>38.6</v>
      </c>
      <c r="H12" s="3" t="str">
        <f t="shared" si="1"/>
        <v>2 lbs. 6.6 oz.</v>
      </c>
      <c r="I12" s="2"/>
      <c r="J12" s="6"/>
      <c r="K12" s="6"/>
    </row>
    <row r="13" spans="1:11" x14ac:dyDescent="0.2">
      <c r="A13" s="3" t="s">
        <v>15</v>
      </c>
      <c r="B13" s="3" t="s">
        <v>26</v>
      </c>
      <c r="C13" s="4">
        <v>0</v>
      </c>
      <c r="D13" s="5">
        <v>3.3</v>
      </c>
      <c r="E13" s="4">
        <v>1</v>
      </c>
      <c r="F13" s="4">
        <v>0</v>
      </c>
      <c r="G13" s="3">
        <f t="shared" si="0"/>
        <v>0</v>
      </c>
      <c r="H13" s="3" t="str">
        <f t="shared" si="1"/>
        <v>0 oz.</v>
      </c>
      <c r="I13" s="2"/>
      <c r="J13" s="6"/>
      <c r="K13" s="6"/>
    </row>
    <row r="14" spans="1:11" x14ac:dyDescent="0.2">
      <c r="A14" s="3" t="s">
        <v>15</v>
      </c>
      <c r="B14" s="3" t="s">
        <v>27</v>
      </c>
      <c r="C14" s="4">
        <v>0</v>
      </c>
      <c r="D14" s="5">
        <v>9.4</v>
      </c>
      <c r="E14" s="4">
        <v>1</v>
      </c>
      <c r="F14" s="4">
        <v>0</v>
      </c>
      <c r="G14" s="3">
        <f t="shared" si="0"/>
        <v>0</v>
      </c>
      <c r="H14" s="3" t="str">
        <f t="shared" si="1"/>
        <v>0 oz.</v>
      </c>
      <c r="I14" s="2"/>
      <c r="J14" s="6"/>
      <c r="K14" s="6"/>
    </row>
    <row r="15" spans="1:11" x14ac:dyDescent="0.2">
      <c r="A15" s="3" t="s">
        <v>15</v>
      </c>
      <c r="B15" s="3" t="s">
        <v>28</v>
      </c>
      <c r="C15" s="4">
        <v>0</v>
      </c>
      <c r="D15" s="5">
        <v>6.3</v>
      </c>
      <c r="E15" s="4">
        <v>1</v>
      </c>
      <c r="F15" s="4">
        <v>0</v>
      </c>
      <c r="G15" s="3">
        <f t="shared" si="0"/>
        <v>0</v>
      </c>
      <c r="H15" s="3" t="str">
        <f t="shared" si="1"/>
        <v>0 oz.</v>
      </c>
      <c r="I15" s="2"/>
      <c r="J15" s="6"/>
      <c r="K15" s="6"/>
    </row>
    <row r="16" spans="1:11" x14ac:dyDescent="0.2">
      <c r="A16" s="3" t="s">
        <v>29</v>
      </c>
      <c r="B16" s="3" t="s">
        <v>30</v>
      </c>
      <c r="C16" s="4">
        <v>0</v>
      </c>
      <c r="D16" s="5">
        <v>4.0999999999999996</v>
      </c>
      <c r="E16" s="4">
        <v>1</v>
      </c>
      <c r="F16" s="4">
        <v>1</v>
      </c>
      <c r="G16" s="3">
        <f t="shared" si="0"/>
        <v>4.0999999999999996</v>
      </c>
      <c r="H16" s="3" t="str">
        <f t="shared" si="1"/>
        <v>4.1 oz.</v>
      </c>
      <c r="I16" s="2"/>
      <c r="J16" s="6"/>
      <c r="K16" s="6"/>
    </row>
    <row r="17" spans="1:11" x14ac:dyDescent="0.2">
      <c r="A17" s="3" t="s">
        <v>29</v>
      </c>
      <c r="B17" s="3" t="s">
        <v>31</v>
      </c>
      <c r="C17" s="4">
        <v>0</v>
      </c>
      <c r="D17" s="5">
        <v>4.2</v>
      </c>
      <c r="E17" s="4">
        <v>1</v>
      </c>
      <c r="F17" s="4">
        <v>1</v>
      </c>
      <c r="G17" s="3">
        <f t="shared" si="0"/>
        <v>4.2</v>
      </c>
      <c r="H17" s="3" t="str">
        <f t="shared" si="1"/>
        <v>4.2 oz.</v>
      </c>
      <c r="I17" s="2"/>
      <c r="J17" s="6"/>
      <c r="K17" s="6"/>
    </row>
    <row r="18" spans="1:11" x14ac:dyDescent="0.2">
      <c r="A18" s="3" t="s">
        <v>29</v>
      </c>
      <c r="B18" s="3" t="s">
        <v>32</v>
      </c>
      <c r="C18" s="4">
        <v>0</v>
      </c>
      <c r="D18" s="5">
        <v>6.1</v>
      </c>
      <c r="E18" s="4">
        <v>1</v>
      </c>
      <c r="F18" s="4">
        <v>1</v>
      </c>
      <c r="G18" s="3">
        <f t="shared" si="0"/>
        <v>6.1</v>
      </c>
      <c r="H18" s="3" t="str">
        <f t="shared" si="1"/>
        <v>6.1 oz.</v>
      </c>
      <c r="I18" s="2"/>
      <c r="J18" s="6"/>
      <c r="K18" s="6"/>
    </row>
    <row r="19" spans="1:11" x14ac:dyDescent="0.2">
      <c r="A19" s="3" t="s">
        <v>29</v>
      </c>
      <c r="B19" s="3" t="s">
        <v>33</v>
      </c>
      <c r="C19" s="4">
        <v>1</v>
      </c>
      <c r="D19" s="5">
        <v>4.9000000000000004</v>
      </c>
      <c r="E19" s="4">
        <v>1</v>
      </c>
      <c r="F19" s="4">
        <v>1</v>
      </c>
      <c r="G19" s="3">
        <f t="shared" si="0"/>
        <v>20.9</v>
      </c>
      <c r="H19" s="3" t="str">
        <f t="shared" si="1"/>
        <v>1 lbs. 4.9 oz.</v>
      </c>
      <c r="I19" s="2"/>
      <c r="J19" s="6"/>
      <c r="K19" s="6"/>
    </row>
    <row r="20" spans="1:11" x14ac:dyDescent="0.2">
      <c r="A20" s="3" t="s">
        <v>34</v>
      </c>
      <c r="B20" s="3" t="s">
        <v>35</v>
      </c>
      <c r="C20" s="4">
        <v>0</v>
      </c>
      <c r="D20" s="5">
        <v>0.7</v>
      </c>
      <c r="E20" s="4">
        <v>1</v>
      </c>
      <c r="F20" s="4">
        <v>1</v>
      </c>
      <c r="G20" s="3">
        <f t="shared" si="0"/>
        <v>0.7</v>
      </c>
      <c r="H20" s="3" t="str">
        <f t="shared" si="1"/>
        <v>0.7 oz.</v>
      </c>
      <c r="I20" s="2"/>
      <c r="J20" s="6"/>
      <c r="K20" s="6"/>
    </row>
    <row r="21" spans="1:11" x14ac:dyDescent="0.2">
      <c r="A21" s="3" t="s">
        <v>34</v>
      </c>
      <c r="B21" s="3" t="s">
        <v>36</v>
      </c>
      <c r="C21" s="4">
        <v>0</v>
      </c>
      <c r="D21" s="5">
        <v>1.2</v>
      </c>
      <c r="E21" s="4">
        <v>1</v>
      </c>
      <c r="F21" s="4">
        <v>1</v>
      </c>
      <c r="G21" s="3">
        <f t="shared" si="0"/>
        <v>1.2</v>
      </c>
      <c r="H21" s="3" t="str">
        <f t="shared" si="1"/>
        <v>1.2 oz.</v>
      </c>
      <c r="I21" s="2"/>
      <c r="J21" s="6"/>
      <c r="K21" s="6"/>
    </row>
    <row r="22" spans="1:11" x14ac:dyDescent="0.2">
      <c r="A22" s="3" t="s">
        <v>34</v>
      </c>
      <c r="B22" s="3" t="s">
        <v>37</v>
      </c>
      <c r="C22" s="4">
        <v>0</v>
      </c>
      <c r="D22" s="5">
        <v>2.9</v>
      </c>
      <c r="E22" s="4">
        <v>1</v>
      </c>
      <c r="F22" s="4">
        <v>1</v>
      </c>
      <c r="G22" s="3">
        <f t="shared" si="0"/>
        <v>2.9</v>
      </c>
      <c r="H22" s="3" t="str">
        <f t="shared" si="1"/>
        <v>2.9 oz.</v>
      </c>
      <c r="I22" s="2"/>
      <c r="J22" s="6"/>
      <c r="K22" s="6"/>
    </row>
    <row r="23" spans="1:11" x14ac:dyDescent="0.2">
      <c r="A23" s="3" t="s">
        <v>34</v>
      </c>
      <c r="B23" s="3" t="s">
        <v>38</v>
      </c>
      <c r="C23" s="4">
        <v>0</v>
      </c>
      <c r="D23" s="5">
        <v>6.8</v>
      </c>
      <c r="E23" s="4">
        <v>1</v>
      </c>
      <c r="F23" s="4">
        <v>1</v>
      </c>
      <c r="G23" s="3">
        <f t="shared" si="0"/>
        <v>6.8</v>
      </c>
      <c r="H23" s="3" t="str">
        <f t="shared" si="1"/>
        <v>6.8 oz.</v>
      </c>
      <c r="I23" s="2"/>
      <c r="J23" s="6"/>
      <c r="K23" s="6"/>
    </row>
    <row r="24" spans="1:11" x14ac:dyDescent="0.2">
      <c r="A24" s="3" t="s">
        <v>39</v>
      </c>
      <c r="B24" s="3" t="s">
        <v>40</v>
      </c>
      <c r="C24" s="4">
        <v>0</v>
      </c>
      <c r="D24" s="5">
        <v>0.4</v>
      </c>
      <c r="E24" s="4">
        <v>1</v>
      </c>
      <c r="F24" s="4">
        <v>1</v>
      </c>
      <c r="G24" s="3">
        <f t="shared" si="0"/>
        <v>0.4</v>
      </c>
      <c r="H24" s="3" t="str">
        <f t="shared" si="1"/>
        <v>0.4 oz.</v>
      </c>
      <c r="I24" s="2"/>
      <c r="J24" s="6"/>
      <c r="K24" s="6"/>
    </row>
    <row r="25" spans="1:11" x14ac:dyDescent="0.2">
      <c r="A25" s="3" t="s">
        <v>39</v>
      </c>
      <c r="B25" s="3" t="s">
        <v>41</v>
      </c>
      <c r="C25" s="4">
        <v>0</v>
      </c>
      <c r="D25" s="5">
        <v>0.9</v>
      </c>
      <c r="E25" s="4">
        <v>1</v>
      </c>
      <c r="F25" s="4">
        <v>1</v>
      </c>
      <c r="G25" s="3">
        <f t="shared" si="0"/>
        <v>0.9</v>
      </c>
      <c r="H25" s="3" t="str">
        <f t="shared" si="1"/>
        <v>0.9 oz.</v>
      </c>
      <c r="I25" s="2"/>
      <c r="J25" s="6"/>
      <c r="K25" s="6"/>
    </row>
    <row r="26" spans="1:11" x14ac:dyDescent="0.2">
      <c r="A26" s="3" t="s">
        <v>39</v>
      </c>
      <c r="B26" s="3" t="s">
        <v>42</v>
      </c>
      <c r="C26" s="4">
        <v>0</v>
      </c>
      <c r="D26" s="5">
        <v>1.7</v>
      </c>
      <c r="E26" s="4">
        <v>1</v>
      </c>
      <c r="F26" s="4">
        <v>1</v>
      </c>
      <c r="G26" s="3">
        <f t="shared" si="0"/>
        <v>1.7</v>
      </c>
      <c r="H26" s="3" t="str">
        <f t="shared" si="1"/>
        <v>1.7 oz.</v>
      </c>
      <c r="I26" s="2"/>
      <c r="J26" s="6"/>
      <c r="K26" s="6"/>
    </row>
    <row r="27" spans="1:11" x14ac:dyDescent="0.2">
      <c r="A27" s="3" t="s">
        <v>39</v>
      </c>
      <c r="B27" s="3" t="s">
        <v>43</v>
      </c>
      <c r="C27" s="4">
        <v>0</v>
      </c>
      <c r="D27" s="5">
        <v>1.8</v>
      </c>
      <c r="E27" s="4">
        <v>1</v>
      </c>
      <c r="F27" s="4">
        <v>1</v>
      </c>
      <c r="G27" s="3">
        <f t="shared" si="0"/>
        <v>1.8</v>
      </c>
      <c r="H27" s="3" t="str">
        <f t="shared" si="1"/>
        <v>1.8 oz.</v>
      </c>
      <c r="I27" s="2"/>
      <c r="J27" s="6"/>
      <c r="K27" s="6"/>
    </row>
    <row r="28" spans="1:11" x14ac:dyDescent="0.2">
      <c r="A28" s="3" t="s">
        <v>39</v>
      </c>
      <c r="B28" s="3" t="s">
        <v>44</v>
      </c>
      <c r="C28" s="4">
        <v>0</v>
      </c>
      <c r="D28" s="5">
        <v>3.7</v>
      </c>
      <c r="E28" s="4">
        <v>1</v>
      </c>
      <c r="F28" s="4">
        <v>1</v>
      </c>
      <c r="G28" s="3">
        <f t="shared" si="0"/>
        <v>3.7</v>
      </c>
      <c r="H28" s="3" t="str">
        <f t="shared" si="1"/>
        <v>3.7 oz.</v>
      </c>
      <c r="I28" s="2"/>
      <c r="J28" s="6"/>
      <c r="K28" s="6"/>
    </row>
    <row r="29" spans="1:11" x14ac:dyDescent="0.2">
      <c r="A29" s="3" t="s">
        <v>39</v>
      </c>
      <c r="B29" s="3" t="s">
        <v>45</v>
      </c>
      <c r="C29" s="4">
        <v>0</v>
      </c>
      <c r="D29" s="5">
        <v>5</v>
      </c>
      <c r="E29" s="4">
        <v>0</v>
      </c>
      <c r="F29" s="4">
        <v>1</v>
      </c>
      <c r="G29" s="3">
        <f t="shared" si="0"/>
        <v>5</v>
      </c>
      <c r="H29" s="3" t="str">
        <f t="shared" si="1"/>
        <v>5 oz.</v>
      </c>
      <c r="I29" s="2"/>
      <c r="J29" s="6"/>
      <c r="K29" s="6"/>
    </row>
    <row r="30" spans="1:11" x14ac:dyDescent="0.2">
      <c r="A30" s="3" t="s">
        <v>39</v>
      </c>
      <c r="B30" s="3" t="s">
        <v>46</v>
      </c>
      <c r="C30" s="4">
        <v>0</v>
      </c>
      <c r="D30" s="5">
        <v>0.2</v>
      </c>
      <c r="E30" s="4">
        <v>1</v>
      </c>
      <c r="F30" s="4">
        <v>0</v>
      </c>
      <c r="G30" s="3">
        <f t="shared" si="0"/>
        <v>0</v>
      </c>
      <c r="H30" s="3" t="str">
        <f t="shared" si="1"/>
        <v>0 oz.</v>
      </c>
      <c r="I30" s="2"/>
      <c r="J30" s="6"/>
      <c r="K30" s="6"/>
    </row>
    <row r="31" spans="1:11" x14ac:dyDescent="0.2">
      <c r="A31" s="3" t="s">
        <v>39</v>
      </c>
      <c r="B31" s="3" t="s">
        <v>47</v>
      </c>
      <c r="C31" s="4">
        <v>0</v>
      </c>
      <c r="D31" s="5">
        <v>8.3000000000000007</v>
      </c>
      <c r="E31" s="4">
        <v>1</v>
      </c>
      <c r="F31" s="4">
        <v>0</v>
      </c>
      <c r="G31" s="3">
        <f t="shared" si="0"/>
        <v>0</v>
      </c>
      <c r="H31" s="3" t="str">
        <f t="shared" si="1"/>
        <v>0 oz.</v>
      </c>
      <c r="I31" s="2"/>
      <c r="J31" s="6"/>
      <c r="K31" s="6"/>
    </row>
    <row r="32" spans="1:11" x14ac:dyDescent="0.2">
      <c r="A32" s="3" t="s">
        <v>48</v>
      </c>
      <c r="B32" s="3" t="s">
        <v>49</v>
      </c>
      <c r="C32" s="4">
        <v>0</v>
      </c>
      <c r="D32" s="5">
        <v>1.1000000000000001</v>
      </c>
      <c r="E32" s="4">
        <v>1</v>
      </c>
      <c r="F32" s="4">
        <v>1</v>
      </c>
      <c r="G32" s="3">
        <f t="shared" si="0"/>
        <v>1.1000000000000001</v>
      </c>
      <c r="H32" s="3" t="str">
        <f t="shared" si="1"/>
        <v>1.1 oz.</v>
      </c>
      <c r="I32" s="2"/>
      <c r="J32" s="6"/>
      <c r="K32" s="6"/>
    </row>
    <row r="33" spans="1:11" x14ac:dyDescent="0.2">
      <c r="A33" s="3" t="s">
        <v>48</v>
      </c>
      <c r="B33" s="3" t="s">
        <v>50</v>
      </c>
      <c r="C33" s="4">
        <v>0</v>
      </c>
      <c r="D33" s="5">
        <v>2.6</v>
      </c>
      <c r="E33" s="4">
        <v>0</v>
      </c>
      <c r="F33" s="4">
        <v>1</v>
      </c>
      <c r="G33" s="3">
        <f t="shared" si="0"/>
        <v>2.6</v>
      </c>
      <c r="H33" s="3" t="str">
        <f t="shared" si="1"/>
        <v>2.6 oz.</v>
      </c>
      <c r="I33" s="2"/>
      <c r="J33" s="6"/>
      <c r="K33" s="6"/>
    </row>
    <row r="34" spans="1:11" x14ac:dyDescent="0.2">
      <c r="A34" s="3" t="s">
        <v>48</v>
      </c>
      <c r="B34" s="3" t="s">
        <v>51</v>
      </c>
      <c r="C34" s="4">
        <v>0</v>
      </c>
      <c r="D34" s="5">
        <v>1.4</v>
      </c>
      <c r="E34" s="4" t="s">
        <v>21</v>
      </c>
      <c r="F34" s="4">
        <v>4</v>
      </c>
      <c r="G34" s="3">
        <f t="shared" si="0"/>
        <v>5.6</v>
      </c>
      <c r="H34" s="3" t="str">
        <f t="shared" si="1"/>
        <v>5.6 oz.</v>
      </c>
      <c r="I34" s="2"/>
      <c r="J34" s="6"/>
      <c r="K34" s="6"/>
    </row>
    <row r="35" spans="1:11" x14ac:dyDescent="0.2">
      <c r="A35" s="3" t="s">
        <v>48</v>
      </c>
      <c r="B35" s="3" t="s">
        <v>52</v>
      </c>
      <c r="C35" s="4">
        <v>0</v>
      </c>
      <c r="D35" s="5">
        <v>3.5</v>
      </c>
      <c r="E35" s="4" t="s">
        <v>21</v>
      </c>
      <c r="F35" s="4">
        <v>2</v>
      </c>
      <c r="G35" s="3">
        <f t="shared" si="0"/>
        <v>7</v>
      </c>
      <c r="H35" s="3" t="str">
        <f t="shared" si="1"/>
        <v>7 oz.</v>
      </c>
      <c r="I35" s="2"/>
      <c r="J35" s="6"/>
      <c r="K35" s="6"/>
    </row>
    <row r="36" spans="1:11" x14ac:dyDescent="0.2">
      <c r="A36" s="3" t="s">
        <v>48</v>
      </c>
      <c r="B36" s="3" t="s">
        <v>53</v>
      </c>
      <c r="C36" s="4">
        <v>0</v>
      </c>
      <c r="D36" s="5">
        <v>2.5</v>
      </c>
      <c r="E36" s="4" t="s">
        <v>21</v>
      </c>
      <c r="F36" s="4">
        <v>4</v>
      </c>
      <c r="G36" s="3">
        <f t="shared" si="0"/>
        <v>10</v>
      </c>
      <c r="H36" s="3" t="str">
        <f t="shared" si="1"/>
        <v>10 oz.</v>
      </c>
      <c r="I36" s="2"/>
      <c r="J36" s="6"/>
      <c r="K36" s="6"/>
    </row>
    <row r="37" spans="1:11" x14ac:dyDescent="0.2">
      <c r="A37" s="3" t="s">
        <v>48</v>
      </c>
      <c r="B37" s="3" t="s">
        <v>54</v>
      </c>
      <c r="C37" s="4">
        <v>0</v>
      </c>
      <c r="D37" s="5">
        <v>15.7</v>
      </c>
      <c r="E37" s="4">
        <v>1</v>
      </c>
      <c r="F37" s="4">
        <v>1</v>
      </c>
      <c r="G37" s="3">
        <f t="shared" si="0"/>
        <v>15.7</v>
      </c>
      <c r="H37" s="3" t="str">
        <f t="shared" si="1"/>
        <v>0 lbs. 15.7 oz.</v>
      </c>
      <c r="I37" s="2"/>
      <c r="J37" s="6"/>
      <c r="K37" s="6"/>
    </row>
    <row r="38" spans="1:11" x14ac:dyDescent="0.2">
      <c r="A38" s="3" t="s">
        <v>48</v>
      </c>
      <c r="B38" s="3" t="s">
        <v>55</v>
      </c>
      <c r="C38" s="4">
        <v>0</v>
      </c>
      <c r="D38" s="5">
        <v>1</v>
      </c>
      <c r="E38" s="4">
        <v>3</v>
      </c>
      <c r="F38" s="4">
        <v>0</v>
      </c>
      <c r="G38" s="3">
        <f t="shared" si="0"/>
        <v>0</v>
      </c>
      <c r="H38" s="3" t="str">
        <f t="shared" si="1"/>
        <v>0 oz.</v>
      </c>
      <c r="I38" s="2"/>
      <c r="J38" s="6"/>
      <c r="K38" s="6"/>
    </row>
    <row r="39" spans="1:11" x14ac:dyDescent="0.2">
      <c r="A39" s="3" t="s">
        <v>48</v>
      </c>
      <c r="B39" s="3" t="s">
        <v>56</v>
      </c>
      <c r="C39" s="4">
        <v>0</v>
      </c>
      <c r="D39" s="5">
        <v>3.1</v>
      </c>
      <c r="E39" s="4">
        <v>1</v>
      </c>
      <c r="F39" s="4">
        <v>0</v>
      </c>
      <c r="G39" s="3">
        <f t="shared" si="0"/>
        <v>0</v>
      </c>
      <c r="H39" s="3" t="str">
        <f t="shared" si="1"/>
        <v>0 oz.</v>
      </c>
      <c r="I39" s="2"/>
      <c r="J39" s="6"/>
      <c r="K39" s="6"/>
    </row>
    <row r="40" spans="1:11" x14ac:dyDescent="0.2">
      <c r="A40" s="3" t="s">
        <v>57</v>
      </c>
      <c r="B40" s="3" t="s">
        <v>58</v>
      </c>
      <c r="C40" s="4">
        <v>0</v>
      </c>
      <c r="D40" s="5">
        <v>3.2</v>
      </c>
      <c r="E40" s="4">
        <v>1</v>
      </c>
      <c r="F40" s="4">
        <v>0</v>
      </c>
      <c r="G40" s="3">
        <f t="shared" si="0"/>
        <v>0</v>
      </c>
      <c r="H40" s="3" t="str">
        <f t="shared" si="1"/>
        <v>0 oz.</v>
      </c>
      <c r="I40" s="2"/>
      <c r="J40" s="3"/>
      <c r="K40" s="3"/>
    </row>
    <row r="41" spans="1:11" x14ac:dyDescent="0.2">
      <c r="A41" s="3" t="s">
        <v>57</v>
      </c>
      <c r="B41" s="3" t="s">
        <v>59</v>
      </c>
      <c r="C41" s="4">
        <v>0</v>
      </c>
      <c r="D41" s="5">
        <v>6.3</v>
      </c>
      <c r="E41" s="4">
        <v>1</v>
      </c>
      <c r="F41" s="4">
        <v>0</v>
      </c>
      <c r="G41" s="3">
        <f t="shared" si="0"/>
        <v>0</v>
      </c>
      <c r="H41" s="3" t="str">
        <f t="shared" si="1"/>
        <v>0 oz.</v>
      </c>
      <c r="I41" s="2"/>
      <c r="J41" s="3"/>
      <c r="K41" s="3"/>
    </row>
    <row r="42" spans="1:11" x14ac:dyDescent="0.2">
      <c r="A42" s="3" t="s">
        <v>57</v>
      </c>
      <c r="B42" s="3" t="s">
        <v>60</v>
      </c>
      <c r="C42" s="4">
        <v>1</v>
      </c>
      <c r="D42" s="5">
        <v>8.4</v>
      </c>
      <c r="E42" s="4">
        <v>1</v>
      </c>
      <c r="F42" s="4">
        <v>0</v>
      </c>
      <c r="G42" s="3">
        <f t="shared" si="0"/>
        <v>0</v>
      </c>
      <c r="H42" s="3" t="str">
        <f t="shared" si="1"/>
        <v>0 oz.</v>
      </c>
      <c r="I42" s="2"/>
      <c r="J42" s="3"/>
      <c r="K42" s="3"/>
    </row>
    <row r="43" spans="1:11" x14ac:dyDescent="0.2">
      <c r="A43" s="3" t="s">
        <v>61</v>
      </c>
      <c r="B43" s="3" t="s">
        <v>62</v>
      </c>
      <c r="C43" s="4">
        <v>0</v>
      </c>
      <c r="D43" s="5">
        <v>0.6</v>
      </c>
      <c r="E43" s="4">
        <v>0</v>
      </c>
      <c r="F43" s="4">
        <v>1</v>
      </c>
      <c r="G43" s="3">
        <f t="shared" si="0"/>
        <v>0.6</v>
      </c>
      <c r="H43" s="3" t="str">
        <f t="shared" si="1"/>
        <v>0.6 oz.</v>
      </c>
      <c r="I43" s="2"/>
      <c r="J43" s="3"/>
      <c r="K43" s="3"/>
    </row>
    <row r="44" spans="1:11" x14ac:dyDescent="0.2">
      <c r="A44" s="3" t="s">
        <v>61</v>
      </c>
      <c r="B44" s="3" t="s">
        <v>63</v>
      </c>
      <c r="C44" s="4">
        <v>0</v>
      </c>
      <c r="D44" s="5">
        <v>3.2</v>
      </c>
      <c r="E44" s="4">
        <v>1</v>
      </c>
      <c r="F44" s="4">
        <v>1</v>
      </c>
      <c r="G44" s="3">
        <f t="shared" si="0"/>
        <v>3.2</v>
      </c>
      <c r="H44" s="3" t="str">
        <f t="shared" si="1"/>
        <v>3.2 oz.</v>
      </c>
      <c r="I44" s="2"/>
      <c r="J44" s="3"/>
      <c r="K44" s="3"/>
    </row>
    <row r="45" spans="1:11" x14ac:dyDescent="0.2">
      <c r="A45" s="3" t="s">
        <v>61</v>
      </c>
      <c r="B45" s="3" t="s">
        <v>64</v>
      </c>
      <c r="C45" s="4">
        <v>0</v>
      </c>
      <c r="D45" s="5">
        <v>4.3</v>
      </c>
      <c r="E45" s="4">
        <v>1</v>
      </c>
      <c r="F45" s="4">
        <v>1</v>
      </c>
      <c r="G45" s="3">
        <f t="shared" si="0"/>
        <v>4.3</v>
      </c>
      <c r="H45" s="3" t="str">
        <f t="shared" si="1"/>
        <v>4.3 oz.</v>
      </c>
      <c r="I45" s="2"/>
      <c r="J45" s="3"/>
      <c r="K45" s="3"/>
    </row>
    <row r="46" spans="1:11" x14ac:dyDescent="0.2">
      <c r="A46" s="3" t="s">
        <v>61</v>
      </c>
      <c r="B46" s="3" t="s">
        <v>65</v>
      </c>
      <c r="C46" s="4">
        <v>0</v>
      </c>
      <c r="D46" s="5">
        <v>3.3</v>
      </c>
      <c r="E46" s="4">
        <v>2</v>
      </c>
      <c r="F46" s="4">
        <v>2</v>
      </c>
      <c r="G46" s="3">
        <f t="shared" si="0"/>
        <v>6.6</v>
      </c>
      <c r="H46" s="3" t="str">
        <f t="shared" si="1"/>
        <v>6.6 oz.</v>
      </c>
      <c r="I46" s="2"/>
      <c r="J46" s="3"/>
      <c r="K46" s="3"/>
    </row>
    <row r="47" spans="1:11" x14ac:dyDescent="0.2">
      <c r="A47" s="3" t="s">
        <v>61</v>
      </c>
      <c r="B47" s="3" t="s">
        <v>66</v>
      </c>
      <c r="C47" s="4">
        <v>0</v>
      </c>
      <c r="D47" s="5">
        <v>4.3</v>
      </c>
      <c r="E47" s="4">
        <v>1</v>
      </c>
      <c r="F47" s="4">
        <v>0</v>
      </c>
      <c r="G47" s="3">
        <f t="shared" si="0"/>
        <v>0</v>
      </c>
      <c r="H47" s="3" t="str">
        <f t="shared" si="1"/>
        <v>0 oz.</v>
      </c>
      <c r="I47" s="2"/>
      <c r="J47" s="3"/>
      <c r="K47" s="3"/>
    </row>
    <row r="48" spans="1:11" x14ac:dyDescent="0.2">
      <c r="A48" s="3" t="s">
        <v>67</v>
      </c>
      <c r="B48" s="3" t="s">
        <v>68</v>
      </c>
      <c r="C48" s="4">
        <v>0</v>
      </c>
      <c r="D48" s="5">
        <v>0.8</v>
      </c>
      <c r="E48" s="4">
        <v>1</v>
      </c>
      <c r="F48" s="4">
        <v>1</v>
      </c>
      <c r="G48" s="3">
        <f t="shared" si="0"/>
        <v>0.8</v>
      </c>
      <c r="H48" s="3" t="str">
        <f t="shared" si="1"/>
        <v>0.8 oz.</v>
      </c>
      <c r="I48" s="2"/>
      <c r="J48" s="3"/>
      <c r="K48" s="3"/>
    </row>
    <row r="49" spans="1:11" x14ac:dyDescent="0.2">
      <c r="A49" s="3" t="s">
        <v>67</v>
      </c>
      <c r="B49" s="3" t="s">
        <v>69</v>
      </c>
      <c r="C49" s="4">
        <v>0</v>
      </c>
      <c r="D49" s="5">
        <v>2.4</v>
      </c>
      <c r="E49" s="4">
        <v>1</v>
      </c>
      <c r="F49" s="4">
        <v>1</v>
      </c>
      <c r="G49" s="3">
        <f t="shared" si="0"/>
        <v>2.4</v>
      </c>
      <c r="H49" s="3" t="str">
        <f t="shared" si="1"/>
        <v>2.4 oz.</v>
      </c>
      <c r="I49" s="2"/>
      <c r="J49" s="3"/>
      <c r="K49" s="3"/>
    </row>
    <row r="50" spans="1:11" x14ac:dyDescent="0.2">
      <c r="A50" s="3" t="s">
        <v>67</v>
      </c>
      <c r="B50" s="3" t="s">
        <v>70</v>
      </c>
      <c r="C50" s="4">
        <v>1</v>
      </c>
      <c r="D50" s="5">
        <v>0.3</v>
      </c>
      <c r="E50" s="4">
        <v>1</v>
      </c>
      <c r="F50" s="4">
        <v>0</v>
      </c>
      <c r="G50" s="3">
        <f t="shared" si="0"/>
        <v>0</v>
      </c>
      <c r="H50" s="3" t="str">
        <f t="shared" si="1"/>
        <v>0 oz.</v>
      </c>
      <c r="I50" s="2"/>
      <c r="J50" s="3"/>
      <c r="K50" s="3"/>
    </row>
    <row r="51" spans="1:11" x14ac:dyDescent="0.2">
      <c r="A51" s="3" t="s">
        <v>71</v>
      </c>
      <c r="B51" s="3" t="s">
        <v>72</v>
      </c>
      <c r="C51" s="4">
        <v>0</v>
      </c>
      <c r="D51" s="5">
        <v>1</v>
      </c>
      <c r="E51" s="4">
        <v>1</v>
      </c>
      <c r="F51" s="4">
        <v>1</v>
      </c>
      <c r="G51" s="3">
        <f t="shared" si="0"/>
        <v>1</v>
      </c>
      <c r="H51" s="3" t="str">
        <f t="shared" si="1"/>
        <v>1 oz.</v>
      </c>
      <c r="I51" s="2"/>
      <c r="J51" s="3"/>
      <c r="K51" s="3"/>
    </row>
    <row r="52" spans="1:11" x14ac:dyDescent="0.2">
      <c r="A52" s="3" t="s">
        <v>71</v>
      </c>
      <c r="B52" s="3" t="s">
        <v>73</v>
      </c>
      <c r="C52" s="4">
        <v>0</v>
      </c>
      <c r="D52" s="5">
        <v>0.79999999999999993</v>
      </c>
      <c r="E52" s="4">
        <v>2</v>
      </c>
      <c r="F52" s="4">
        <v>2</v>
      </c>
      <c r="G52" s="3">
        <f t="shared" si="0"/>
        <v>1.5999999999999999</v>
      </c>
      <c r="H52" s="3" t="str">
        <f t="shared" si="1"/>
        <v>1.6 oz.</v>
      </c>
      <c r="I52" s="2"/>
      <c r="J52" s="3"/>
      <c r="K52" s="3"/>
    </row>
    <row r="53" spans="1:11" x14ac:dyDescent="0.2">
      <c r="A53" s="3" t="s">
        <v>71</v>
      </c>
      <c r="B53" s="3" t="s">
        <v>74</v>
      </c>
      <c r="C53" s="4">
        <v>0</v>
      </c>
      <c r="D53" s="5">
        <v>4.2</v>
      </c>
      <c r="E53" s="4">
        <v>1</v>
      </c>
      <c r="F53" s="4">
        <v>1</v>
      </c>
      <c r="G53" s="3">
        <f t="shared" si="0"/>
        <v>4.2</v>
      </c>
      <c r="H53" s="3" t="str">
        <f t="shared" si="1"/>
        <v>4.2 oz.</v>
      </c>
      <c r="I53" s="2"/>
      <c r="J53" s="3"/>
      <c r="K53" s="3"/>
    </row>
    <row r="54" spans="1:11" x14ac:dyDescent="0.2">
      <c r="A54" s="3" t="s">
        <v>71</v>
      </c>
      <c r="B54" s="3" t="s">
        <v>75</v>
      </c>
      <c r="C54" s="4">
        <v>0</v>
      </c>
      <c r="D54" s="5">
        <v>2.4</v>
      </c>
      <c r="E54" s="4">
        <v>2</v>
      </c>
      <c r="F54" s="4">
        <v>2</v>
      </c>
      <c r="G54" s="3">
        <f t="shared" si="0"/>
        <v>4.8</v>
      </c>
      <c r="H54" s="3" t="str">
        <f t="shared" si="1"/>
        <v>4.8 oz.</v>
      </c>
      <c r="I54" s="2"/>
      <c r="J54" s="3"/>
      <c r="K54" s="3"/>
    </row>
    <row r="55" spans="1:11" x14ac:dyDescent="0.2">
      <c r="A55" s="3" t="s">
        <v>71</v>
      </c>
      <c r="B55" s="3" t="s">
        <v>76</v>
      </c>
      <c r="C55" s="4">
        <v>0</v>
      </c>
      <c r="D55" s="5">
        <v>6</v>
      </c>
      <c r="E55" s="4">
        <v>1</v>
      </c>
      <c r="F55" s="4">
        <v>1</v>
      </c>
      <c r="G55" s="3">
        <f t="shared" si="0"/>
        <v>6</v>
      </c>
      <c r="H55" s="3" t="str">
        <f t="shared" si="1"/>
        <v>6 oz.</v>
      </c>
      <c r="I55" s="2"/>
      <c r="J55" s="3"/>
      <c r="K55" s="3"/>
    </row>
    <row r="56" spans="1:11" x14ac:dyDescent="0.2">
      <c r="A56" s="3" t="s">
        <v>71</v>
      </c>
      <c r="B56" s="3" t="s">
        <v>77</v>
      </c>
      <c r="C56" s="4">
        <v>1</v>
      </c>
      <c r="D56" s="5">
        <v>8</v>
      </c>
      <c r="E56" s="4">
        <v>0</v>
      </c>
      <c r="F56" s="4">
        <v>1</v>
      </c>
      <c r="G56" s="3">
        <f t="shared" si="0"/>
        <v>24</v>
      </c>
      <c r="H56" s="3" t="str">
        <f t="shared" si="1"/>
        <v>1 lbs. 8 oz.</v>
      </c>
      <c r="I56" s="2"/>
      <c r="J56" s="3"/>
      <c r="K56" s="3"/>
    </row>
    <row r="57" spans="1:11" x14ac:dyDescent="0.2">
      <c r="A57" s="3" t="s">
        <v>71</v>
      </c>
      <c r="B57" s="3" t="s">
        <v>78</v>
      </c>
      <c r="C57" s="4">
        <v>3</v>
      </c>
      <c r="D57" s="5">
        <v>2.6</v>
      </c>
      <c r="E57" s="4">
        <v>1</v>
      </c>
      <c r="F57" s="4">
        <v>0</v>
      </c>
      <c r="G57" s="3">
        <f t="shared" si="0"/>
        <v>0</v>
      </c>
      <c r="H57" s="3" t="str">
        <f t="shared" si="1"/>
        <v>0 oz.</v>
      </c>
      <c r="I57" s="2"/>
      <c r="J57" s="3"/>
      <c r="K57" s="3"/>
    </row>
    <row r="58" spans="1:11" x14ac:dyDescent="0.2">
      <c r="A58" s="3" t="s">
        <v>71</v>
      </c>
      <c r="B58" s="3" t="s">
        <v>79</v>
      </c>
      <c r="C58" s="4">
        <v>0</v>
      </c>
      <c r="D58" s="5">
        <v>0.3</v>
      </c>
      <c r="E58" s="4">
        <v>2</v>
      </c>
      <c r="F58" s="4">
        <v>0</v>
      </c>
      <c r="G58" s="3">
        <f t="shared" si="0"/>
        <v>0</v>
      </c>
      <c r="H58" s="3" t="str">
        <f t="shared" si="1"/>
        <v>0 oz.</v>
      </c>
      <c r="I58" s="2"/>
      <c r="J58" s="3"/>
      <c r="K58" s="3"/>
    </row>
    <row r="59" spans="1:11" x14ac:dyDescent="0.2">
      <c r="A59" s="3" t="s">
        <v>71</v>
      </c>
      <c r="B59" s="3" t="s">
        <v>80</v>
      </c>
      <c r="C59" s="4">
        <v>0</v>
      </c>
      <c r="D59" s="5">
        <v>0.2</v>
      </c>
      <c r="E59" s="4">
        <v>2</v>
      </c>
      <c r="F59" s="4">
        <v>0</v>
      </c>
      <c r="G59" s="3">
        <f t="shared" si="0"/>
        <v>0</v>
      </c>
      <c r="H59" s="3" t="str">
        <f t="shared" si="1"/>
        <v>0 oz.</v>
      </c>
      <c r="I59" s="2"/>
      <c r="J59" s="3"/>
      <c r="K59" s="3"/>
    </row>
    <row r="60" spans="1:11" x14ac:dyDescent="0.2">
      <c r="A60" s="3" t="s">
        <v>71</v>
      </c>
      <c r="B60" s="3" t="s">
        <v>81</v>
      </c>
      <c r="C60" s="4">
        <v>0</v>
      </c>
      <c r="D60" s="5">
        <v>3.8</v>
      </c>
      <c r="E60" s="4">
        <v>2</v>
      </c>
      <c r="F60" s="4">
        <v>0</v>
      </c>
      <c r="G60" s="3">
        <f t="shared" si="0"/>
        <v>0</v>
      </c>
      <c r="H60" s="3" t="str">
        <f t="shared" si="1"/>
        <v>0 oz.</v>
      </c>
      <c r="I60" s="2"/>
      <c r="J60" s="3"/>
      <c r="K60" s="3"/>
    </row>
    <row r="61" spans="1:11" x14ac:dyDescent="0.2">
      <c r="A61" s="3" t="s">
        <v>82</v>
      </c>
      <c r="B61" s="3" t="s">
        <v>83</v>
      </c>
      <c r="C61" s="4"/>
      <c r="D61" s="5"/>
      <c r="E61" s="4"/>
      <c r="F61" s="4"/>
      <c r="G61" s="3">
        <f t="shared" si="0"/>
        <v>0</v>
      </c>
      <c r="H61" s="3" t="str">
        <f t="shared" si="1"/>
        <v>0 oz.</v>
      </c>
      <c r="I61" s="2"/>
      <c r="J61" s="3"/>
      <c r="K61" s="3"/>
    </row>
    <row r="62" spans="1:11" x14ac:dyDescent="0.2">
      <c r="A62" s="3" t="s">
        <v>82</v>
      </c>
      <c r="B62" s="3" t="s">
        <v>84</v>
      </c>
      <c r="C62" s="4">
        <v>0</v>
      </c>
      <c r="D62" s="5">
        <v>0.79999999999999993</v>
      </c>
      <c r="E62" s="4">
        <v>1</v>
      </c>
      <c r="F62" s="4">
        <v>1</v>
      </c>
      <c r="G62" s="3">
        <f t="shared" si="0"/>
        <v>0.79999999999999993</v>
      </c>
      <c r="H62" s="3" t="str">
        <f t="shared" si="1"/>
        <v>0.8 oz.</v>
      </c>
      <c r="I62" s="2"/>
      <c r="J62" s="3"/>
      <c r="K62" s="3"/>
    </row>
    <row r="63" spans="1:11" x14ac:dyDescent="0.2">
      <c r="A63" s="3" t="s">
        <v>82</v>
      </c>
      <c r="B63" s="3" t="s">
        <v>85</v>
      </c>
      <c r="C63" s="4">
        <v>0</v>
      </c>
      <c r="D63" s="5">
        <v>1</v>
      </c>
      <c r="E63" s="4">
        <v>1</v>
      </c>
      <c r="F63" s="4">
        <v>1</v>
      </c>
      <c r="G63" s="3">
        <f t="shared" si="0"/>
        <v>1</v>
      </c>
      <c r="H63" s="3" t="str">
        <f t="shared" si="1"/>
        <v>1 oz.</v>
      </c>
      <c r="I63" s="2"/>
      <c r="J63" s="3"/>
      <c r="K63" s="3"/>
    </row>
    <row r="64" spans="1:11" x14ac:dyDescent="0.2">
      <c r="A64" s="3" t="s">
        <v>82</v>
      </c>
      <c r="B64" s="3" t="s">
        <v>86</v>
      </c>
      <c r="C64" s="4">
        <v>0</v>
      </c>
      <c r="D64" s="5">
        <v>1.1000000000000001</v>
      </c>
      <c r="E64" s="4">
        <v>1</v>
      </c>
      <c r="F64" s="4">
        <v>1</v>
      </c>
      <c r="G64" s="3">
        <f t="shared" si="0"/>
        <v>1.1000000000000001</v>
      </c>
      <c r="H64" s="3" t="str">
        <f t="shared" si="1"/>
        <v>1.1 oz.</v>
      </c>
      <c r="I64" s="2"/>
      <c r="J64" s="3"/>
      <c r="K64" s="3"/>
    </row>
    <row r="65" spans="1:11" x14ac:dyDescent="0.2">
      <c r="A65" s="3" t="s">
        <v>82</v>
      </c>
      <c r="B65" s="3" t="s">
        <v>87</v>
      </c>
      <c r="C65" s="4">
        <v>0</v>
      </c>
      <c r="D65" s="5">
        <v>1.2000000000000002</v>
      </c>
      <c r="E65" s="4">
        <v>1</v>
      </c>
      <c r="F65" s="4">
        <v>1</v>
      </c>
      <c r="G65" s="3">
        <f t="shared" si="0"/>
        <v>1.2000000000000002</v>
      </c>
      <c r="H65" s="3" t="str">
        <f t="shared" si="1"/>
        <v>1.2 oz.</v>
      </c>
      <c r="I65" s="2"/>
      <c r="J65" s="3"/>
      <c r="K65" s="3"/>
    </row>
    <row r="66" spans="1:11" x14ac:dyDescent="0.2">
      <c r="A66" s="3" t="s">
        <v>82</v>
      </c>
      <c r="B66" s="3" t="s">
        <v>88</v>
      </c>
      <c r="C66" s="4">
        <v>0</v>
      </c>
      <c r="D66" s="5">
        <v>3.2</v>
      </c>
      <c r="E66" s="4">
        <v>1</v>
      </c>
      <c r="F66" s="4">
        <v>1</v>
      </c>
      <c r="G66" s="3">
        <f t="shared" si="0"/>
        <v>3.2</v>
      </c>
      <c r="H66" s="3" t="str">
        <f t="shared" si="1"/>
        <v>3.2 oz.</v>
      </c>
      <c r="I66" s="2"/>
      <c r="J66" s="3"/>
      <c r="K66" s="3"/>
    </row>
    <row r="67" spans="1:11" x14ac:dyDescent="0.2">
      <c r="A67" s="3" t="s">
        <v>82</v>
      </c>
      <c r="B67" s="3" t="s">
        <v>89</v>
      </c>
      <c r="C67" s="4">
        <v>0</v>
      </c>
      <c r="D67" s="5">
        <v>4</v>
      </c>
      <c r="E67" s="4">
        <v>0</v>
      </c>
      <c r="F67" s="4">
        <v>1</v>
      </c>
      <c r="G67" s="3">
        <f t="shared" si="0"/>
        <v>4</v>
      </c>
      <c r="H67" s="3" t="str">
        <f t="shared" si="1"/>
        <v>4 oz.</v>
      </c>
      <c r="I67" s="2"/>
      <c r="J67" s="3"/>
      <c r="K67" s="3"/>
    </row>
    <row r="68" spans="1:11" x14ac:dyDescent="0.2">
      <c r="A68" s="3" t="s">
        <v>82</v>
      </c>
      <c r="B68" s="3" t="s">
        <v>90</v>
      </c>
      <c r="C68" s="4">
        <v>0</v>
      </c>
      <c r="D68" s="5">
        <v>4.8</v>
      </c>
      <c r="E68" s="4">
        <v>1</v>
      </c>
      <c r="F68" s="4">
        <v>1</v>
      </c>
      <c r="G68" s="3">
        <f t="shared" si="0"/>
        <v>4.8</v>
      </c>
      <c r="H68" s="3" t="str">
        <f t="shared" si="1"/>
        <v>4.8 oz.</v>
      </c>
      <c r="I68" s="2"/>
      <c r="J68" s="3"/>
      <c r="K68" s="3"/>
    </row>
    <row r="69" spans="1:11" x14ac:dyDescent="0.2">
      <c r="A69" s="3" t="s">
        <v>82</v>
      </c>
      <c r="B69" s="3" t="s">
        <v>91</v>
      </c>
      <c r="C69" s="4">
        <v>0</v>
      </c>
      <c r="D69" s="5">
        <v>6.1999999999999993</v>
      </c>
      <c r="E69" s="4">
        <v>1</v>
      </c>
      <c r="F69" s="4">
        <v>1</v>
      </c>
      <c r="G69" s="3">
        <f t="shared" si="0"/>
        <v>6.1999999999999993</v>
      </c>
      <c r="H69" s="3" t="str">
        <f t="shared" si="1"/>
        <v>6.2 oz.</v>
      </c>
      <c r="I69" s="2"/>
      <c r="J69" s="3"/>
      <c r="K69" s="3"/>
    </row>
    <row r="70" spans="1:11" x14ac:dyDescent="0.2">
      <c r="A70" s="3" t="s">
        <v>82</v>
      </c>
      <c r="B70" s="3" t="s">
        <v>92</v>
      </c>
      <c r="C70" s="4">
        <v>0</v>
      </c>
      <c r="D70" s="5">
        <v>9.1</v>
      </c>
      <c r="E70" s="4">
        <v>2</v>
      </c>
      <c r="F70" s="4">
        <v>2</v>
      </c>
      <c r="G70" s="3">
        <f t="shared" si="0"/>
        <v>18.2</v>
      </c>
      <c r="H70" s="3" t="str">
        <f t="shared" si="1"/>
        <v>1 lbs. 2.2 oz.</v>
      </c>
      <c r="I70" s="2"/>
      <c r="J70" s="3"/>
      <c r="K70" s="3"/>
    </row>
    <row r="71" spans="1:11" x14ac:dyDescent="0.2">
      <c r="A71" s="3" t="s">
        <v>82</v>
      </c>
      <c r="B71" s="3" t="s">
        <v>93</v>
      </c>
      <c r="C71" s="4">
        <v>0</v>
      </c>
      <c r="D71" s="5">
        <v>7</v>
      </c>
      <c r="E71" s="4">
        <v>1</v>
      </c>
      <c r="F71" s="4">
        <v>0</v>
      </c>
      <c r="G71" s="3">
        <f t="shared" si="0"/>
        <v>0</v>
      </c>
      <c r="H71" s="3" t="str">
        <f t="shared" si="1"/>
        <v>0 oz.</v>
      </c>
      <c r="I71" s="2"/>
      <c r="J71" s="3"/>
      <c r="K71" s="3"/>
    </row>
    <row r="72" spans="1:11" x14ac:dyDescent="0.2">
      <c r="A72" s="3" t="s">
        <v>82</v>
      </c>
      <c r="B72" s="3" t="s">
        <v>94</v>
      </c>
      <c r="C72" s="4">
        <v>0</v>
      </c>
      <c r="D72" s="5">
        <v>8</v>
      </c>
      <c r="E72" s="4">
        <v>1</v>
      </c>
      <c r="F72" s="4">
        <v>0</v>
      </c>
      <c r="G72" s="3">
        <f t="shared" si="0"/>
        <v>0</v>
      </c>
      <c r="H72" s="3" t="str">
        <f t="shared" si="1"/>
        <v>0 oz.</v>
      </c>
      <c r="I72" s="2"/>
      <c r="J72" s="3"/>
      <c r="K72" s="3"/>
    </row>
    <row r="73" spans="1:11" x14ac:dyDescent="0.2">
      <c r="A73" s="3" t="s">
        <v>95</v>
      </c>
      <c r="B73" s="3" t="s">
        <v>96</v>
      </c>
      <c r="C73" s="4">
        <v>0</v>
      </c>
      <c r="D73" s="5">
        <v>8.8000000000000007</v>
      </c>
      <c r="E73" s="4">
        <v>0</v>
      </c>
      <c r="F73" s="4">
        <v>1</v>
      </c>
      <c r="G73" s="3">
        <f t="shared" si="0"/>
        <v>8.8000000000000007</v>
      </c>
      <c r="H73" s="3" t="str">
        <f t="shared" si="1"/>
        <v>8.8 oz.</v>
      </c>
      <c r="I73" s="2"/>
      <c r="J73" s="3"/>
      <c r="K73" s="3"/>
    </row>
    <row r="74" spans="1:11" x14ac:dyDescent="0.2">
      <c r="A74" s="3" t="s">
        <v>95</v>
      </c>
      <c r="B74" s="3" t="s">
        <v>97</v>
      </c>
      <c r="C74" s="4">
        <v>0</v>
      </c>
      <c r="D74" s="5">
        <v>9.5</v>
      </c>
      <c r="E74" s="4">
        <v>1</v>
      </c>
      <c r="F74" s="4">
        <v>1</v>
      </c>
      <c r="G74" s="3">
        <f t="shared" si="0"/>
        <v>9.5</v>
      </c>
      <c r="H74" s="3" t="str">
        <f t="shared" si="1"/>
        <v>9.5 oz.</v>
      </c>
      <c r="I74" s="2"/>
      <c r="J74" s="3"/>
      <c r="K74" s="3"/>
    </row>
    <row r="75" spans="1:11" x14ac:dyDescent="0.2">
      <c r="A75" s="3" t="s">
        <v>95</v>
      </c>
      <c r="B75" s="3" t="s">
        <v>98</v>
      </c>
      <c r="C75" s="4">
        <v>1</v>
      </c>
      <c r="D75" s="5">
        <v>0</v>
      </c>
      <c r="E75" s="4">
        <v>1</v>
      </c>
      <c r="F75" s="4">
        <v>1</v>
      </c>
      <c r="G75" s="3">
        <f t="shared" si="0"/>
        <v>16</v>
      </c>
      <c r="H75" s="3" t="str">
        <f t="shared" si="1"/>
        <v>1 lbs. 0 oz.</v>
      </c>
      <c r="I75" s="2"/>
      <c r="J75" s="3"/>
      <c r="K75" s="3"/>
    </row>
    <row r="76" spans="1:11" x14ac:dyDescent="0.2">
      <c r="A76" s="3" t="s">
        <v>95</v>
      </c>
      <c r="B76" s="3" t="s">
        <v>99</v>
      </c>
      <c r="C76" s="4">
        <v>1</v>
      </c>
      <c r="D76" s="5">
        <v>5.3</v>
      </c>
      <c r="E76" s="4">
        <v>0</v>
      </c>
      <c r="F76" s="4">
        <v>1</v>
      </c>
      <c r="G76" s="3">
        <f t="shared" si="0"/>
        <v>21.3</v>
      </c>
      <c r="H76" s="3" t="str">
        <f t="shared" si="1"/>
        <v>1 lbs. 5.3 oz.</v>
      </c>
      <c r="I76" s="2"/>
      <c r="J76" s="3"/>
      <c r="K76" s="3"/>
    </row>
    <row r="77" spans="1:11" x14ac:dyDescent="0.2">
      <c r="A77" s="3" t="s">
        <v>95</v>
      </c>
      <c r="B77" s="3" t="s">
        <v>100</v>
      </c>
      <c r="C77" s="4">
        <v>3</v>
      </c>
      <c r="D77" s="5">
        <v>1.1000000000000001</v>
      </c>
      <c r="E77" s="4">
        <v>1</v>
      </c>
      <c r="F77" s="4">
        <v>1</v>
      </c>
      <c r="G77" s="3">
        <f t="shared" si="0"/>
        <v>49.1</v>
      </c>
      <c r="H77" s="3" t="str">
        <f t="shared" si="1"/>
        <v>3 lbs. 1.1 oz.</v>
      </c>
      <c r="I77" s="2"/>
      <c r="J77" s="3"/>
      <c r="K77" s="3"/>
    </row>
    <row r="78" spans="1:11" x14ac:dyDescent="0.2">
      <c r="A78" s="3" t="s">
        <v>95</v>
      </c>
      <c r="B78" s="3" t="s">
        <v>101</v>
      </c>
      <c r="C78" s="4">
        <v>4</v>
      </c>
      <c r="D78" s="5">
        <v>12</v>
      </c>
      <c r="E78" s="4">
        <v>0</v>
      </c>
      <c r="F78" s="4">
        <v>1</v>
      </c>
      <c r="G78" s="3">
        <f t="shared" si="0"/>
        <v>76</v>
      </c>
      <c r="H78" s="3" t="str">
        <f t="shared" si="1"/>
        <v>4 lbs. 12 oz.</v>
      </c>
      <c r="I78" s="2"/>
      <c r="J78" s="3"/>
      <c r="K78" s="3"/>
    </row>
    <row r="79" spans="1:11" x14ac:dyDescent="0.2">
      <c r="A79" s="3" t="s">
        <v>95</v>
      </c>
      <c r="B79" s="3" t="s">
        <v>102</v>
      </c>
      <c r="C79" s="4">
        <v>1</v>
      </c>
      <c r="D79" s="5">
        <v>14.5</v>
      </c>
      <c r="E79" s="4">
        <v>1</v>
      </c>
      <c r="F79" s="4">
        <v>0</v>
      </c>
      <c r="G79" s="3">
        <f t="shared" si="0"/>
        <v>0</v>
      </c>
      <c r="H79" s="3" t="str">
        <f t="shared" si="1"/>
        <v>0 oz.</v>
      </c>
      <c r="I79" s="2"/>
      <c r="J79" s="3"/>
      <c r="K79" s="3"/>
    </row>
    <row r="80" spans="1:11" x14ac:dyDescent="0.2">
      <c r="A80" s="3" t="s">
        <v>95</v>
      </c>
      <c r="B80" s="3" t="s">
        <v>103</v>
      </c>
      <c r="C80" s="4">
        <v>2</v>
      </c>
      <c r="D80" s="5">
        <v>2.2999999999999998</v>
      </c>
      <c r="E80" s="4">
        <v>1</v>
      </c>
      <c r="F80" s="4">
        <v>0</v>
      </c>
      <c r="G80" s="3">
        <f t="shared" si="0"/>
        <v>0</v>
      </c>
      <c r="H80" s="3" t="str">
        <f t="shared" si="1"/>
        <v>0 oz.</v>
      </c>
      <c r="I80" s="2"/>
      <c r="J80" s="3"/>
      <c r="K80" s="3"/>
    </row>
    <row r="81" spans="1:11" x14ac:dyDescent="0.2">
      <c r="A81" s="3" t="s">
        <v>95</v>
      </c>
      <c r="B81" s="3" t="s">
        <v>104</v>
      </c>
      <c r="C81" s="4">
        <v>0</v>
      </c>
      <c r="D81" s="5">
        <v>15.8</v>
      </c>
      <c r="E81" s="4">
        <v>1</v>
      </c>
      <c r="F81" s="4">
        <v>0</v>
      </c>
      <c r="G81" s="3">
        <f t="shared" si="0"/>
        <v>0</v>
      </c>
      <c r="H81" s="3" t="str">
        <f t="shared" si="1"/>
        <v>0 oz.</v>
      </c>
      <c r="I81" s="2"/>
      <c r="J81" s="3"/>
      <c r="K81" s="3"/>
    </row>
    <row r="82" spans="1:11" x14ac:dyDescent="0.2">
      <c r="A82" s="3" t="s">
        <v>95</v>
      </c>
      <c r="B82" s="3" t="s">
        <v>105</v>
      </c>
      <c r="C82" s="4">
        <v>7</v>
      </c>
      <c r="D82" s="5">
        <v>1.9</v>
      </c>
      <c r="E82" s="4">
        <v>1</v>
      </c>
      <c r="F82" s="4">
        <v>0</v>
      </c>
      <c r="G82" s="3">
        <f t="shared" si="0"/>
        <v>0</v>
      </c>
      <c r="H82" s="3" t="str">
        <f t="shared" si="1"/>
        <v>0 oz.</v>
      </c>
      <c r="I82" s="2"/>
      <c r="J82" s="3"/>
      <c r="K82" s="3"/>
    </row>
    <row r="83" spans="1:11" x14ac:dyDescent="0.2">
      <c r="A83" s="3" t="s">
        <v>95</v>
      </c>
      <c r="B83" s="3" t="s">
        <v>106</v>
      </c>
      <c r="C83" s="4">
        <v>1</v>
      </c>
      <c r="D83" s="5">
        <v>10.4</v>
      </c>
      <c r="E83" s="4">
        <v>0</v>
      </c>
      <c r="F83" s="4">
        <v>0</v>
      </c>
      <c r="G83" s="3">
        <f t="shared" si="0"/>
        <v>0</v>
      </c>
      <c r="H83" s="3" t="str">
        <f t="shared" si="1"/>
        <v>0 oz.</v>
      </c>
      <c r="I83" s="2"/>
      <c r="J83" s="3"/>
      <c r="K83" s="3"/>
    </row>
    <row r="84" spans="1:11" x14ac:dyDescent="0.2">
      <c r="A84" s="7" t="s">
        <v>82</v>
      </c>
      <c r="B84" s="7" t="s">
        <v>107</v>
      </c>
      <c r="C84" s="4"/>
      <c r="D84" s="5"/>
      <c r="E84" s="8">
        <v>1</v>
      </c>
      <c r="F84" s="8">
        <v>1</v>
      </c>
      <c r="G84" s="3">
        <f t="shared" si="0"/>
        <v>0</v>
      </c>
      <c r="H84" s="3" t="str">
        <f t="shared" si="1"/>
        <v>0 oz.</v>
      </c>
      <c r="I84" s="2"/>
      <c r="J84" s="3"/>
      <c r="K84" s="3"/>
    </row>
    <row r="85" spans="1:11" x14ac:dyDescent="0.2">
      <c r="A85" s="7" t="s">
        <v>82</v>
      </c>
      <c r="B85" s="7" t="s">
        <v>108</v>
      </c>
      <c r="C85" s="4"/>
      <c r="D85" s="5"/>
      <c r="E85" s="8">
        <v>1</v>
      </c>
      <c r="F85" s="8">
        <v>1</v>
      </c>
      <c r="G85" s="3">
        <f t="shared" si="0"/>
        <v>0</v>
      </c>
      <c r="H85" s="3" t="str">
        <f t="shared" si="1"/>
        <v>0 oz.</v>
      </c>
      <c r="I85" s="2"/>
      <c r="J85" s="3"/>
      <c r="K85" s="3"/>
    </row>
    <row r="86" spans="1:11" x14ac:dyDescent="0.2">
      <c r="A86" s="3"/>
      <c r="B86" s="3"/>
      <c r="C86" s="4"/>
      <c r="D86" s="5"/>
      <c r="E86" s="4"/>
      <c r="F86" s="4"/>
      <c r="G86" s="3">
        <f t="shared" si="0"/>
        <v>0</v>
      </c>
      <c r="H86" s="3" t="str">
        <f t="shared" si="1"/>
        <v>0 oz.</v>
      </c>
      <c r="I86" s="2"/>
      <c r="J86" s="3"/>
      <c r="K86" s="3"/>
    </row>
    <row r="87" spans="1:11" x14ac:dyDescent="0.2">
      <c r="A87" s="3"/>
      <c r="B87" s="3"/>
      <c r="C87" s="4"/>
      <c r="D87" s="5"/>
      <c r="E87" s="4"/>
      <c r="F87" s="4"/>
      <c r="G87" s="3">
        <f t="shared" si="0"/>
        <v>0</v>
      </c>
      <c r="H87" s="3" t="str">
        <f t="shared" si="1"/>
        <v>0 oz.</v>
      </c>
      <c r="I87" s="2"/>
      <c r="J87" s="3"/>
      <c r="K87" s="3"/>
    </row>
    <row r="88" spans="1:11" x14ac:dyDescent="0.2">
      <c r="A88" s="3"/>
      <c r="B88" s="3"/>
      <c r="C88" s="4"/>
      <c r="D88" s="5"/>
      <c r="E88" s="4"/>
      <c r="F88" s="4"/>
      <c r="G88" s="3">
        <f t="shared" si="0"/>
        <v>0</v>
      </c>
      <c r="H88" s="3" t="str">
        <f t="shared" si="1"/>
        <v>0 oz.</v>
      </c>
      <c r="I88" s="2"/>
      <c r="J88" s="3"/>
      <c r="K88" s="3"/>
    </row>
    <row r="89" spans="1:11" x14ac:dyDescent="0.2">
      <c r="A89" s="3"/>
      <c r="B89" s="3"/>
      <c r="C89" s="4"/>
      <c r="D89" s="5"/>
      <c r="E89" s="4"/>
      <c r="F89" s="4"/>
      <c r="G89" s="3">
        <f t="shared" si="0"/>
        <v>0</v>
      </c>
      <c r="H89" s="3" t="str">
        <f t="shared" si="1"/>
        <v>0 oz.</v>
      </c>
      <c r="I89" s="2"/>
      <c r="J89" s="3"/>
      <c r="K89" s="3"/>
    </row>
    <row r="90" spans="1:11" ht="18" x14ac:dyDescent="0.2">
      <c r="A90" s="3"/>
      <c r="B90" s="9"/>
      <c r="C90" s="10"/>
      <c r="D90" s="11"/>
      <c r="E90" s="10"/>
      <c r="F90" s="10"/>
      <c r="G90" s="9">
        <f>SUM(G4:G89)</f>
        <v>491.79999999999995</v>
      </c>
      <c r="H90" s="9" t="str">
        <f>IF(G90&gt;15,CONCATENATE(ROUNDDOWN(G90/16,0)," lbs. ",ROUNDDOWN(G90-(ROUNDDOWN(G90/16,0))*16,2)," oz."),CONCATENATE(G90," oz."))</f>
        <v>30 lbs. 11.8 oz.</v>
      </c>
      <c r="I90" s="3"/>
      <c r="J90" s="3"/>
      <c r="K90" s="3"/>
    </row>
    <row r="91" spans="1:11" x14ac:dyDescent="0.2">
      <c r="A91" s="3"/>
      <c r="B91" s="3"/>
      <c r="C91" s="4"/>
      <c r="D91" s="5"/>
      <c r="E91" s="4"/>
      <c r="F91" s="4"/>
      <c r="G91" s="3"/>
      <c r="H91" s="3"/>
      <c r="I91" s="3"/>
      <c r="J91" s="3"/>
      <c r="K91" s="3"/>
    </row>
    <row r="92" spans="1:11" x14ac:dyDescent="0.2">
      <c r="A92" s="3"/>
      <c r="B92" s="3"/>
      <c r="C92" s="4"/>
      <c r="D92" s="5"/>
      <c r="E92" s="4"/>
      <c r="F92" s="4"/>
      <c r="G92" s="3"/>
      <c r="H92" s="3"/>
      <c r="I92" s="3"/>
      <c r="J92" s="3"/>
      <c r="K92" s="3"/>
    </row>
    <row r="93" spans="1:11" x14ac:dyDescent="0.2">
      <c r="A93" s="3"/>
      <c r="B93" s="3"/>
      <c r="C93" s="4"/>
      <c r="D93" s="5"/>
      <c r="E93" s="4"/>
      <c r="F93" s="4"/>
      <c r="G93" s="3"/>
      <c r="H93" s="3"/>
      <c r="I93" s="3"/>
      <c r="J93" s="3"/>
      <c r="K93" s="3"/>
    </row>
    <row r="94" spans="1:11" x14ac:dyDescent="0.2">
      <c r="A94" s="3"/>
      <c r="B94" s="3"/>
      <c r="C94" s="4"/>
      <c r="D94" s="5"/>
      <c r="E94" s="4"/>
      <c r="F94" s="4"/>
      <c r="G94" s="3"/>
      <c r="H94" s="3"/>
      <c r="I94" s="3"/>
      <c r="J94" s="3"/>
      <c r="K94" s="3"/>
    </row>
    <row r="95" spans="1:11" x14ac:dyDescent="0.2">
      <c r="A95" s="3"/>
      <c r="B95" s="3"/>
      <c r="C95" s="4"/>
      <c r="D95" s="5"/>
      <c r="E95" s="4"/>
      <c r="F95" s="4"/>
      <c r="G95" s="3"/>
      <c r="H95" s="3"/>
      <c r="I95" s="3"/>
      <c r="J95" s="3"/>
      <c r="K95" s="3"/>
    </row>
    <row r="96" spans="1:11" x14ac:dyDescent="0.2">
      <c r="A96" s="3"/>
      <c r="B96" s="3"/>
      <c r="C96" s="4"/>
      <c r="D96" s="5"/>
      <c r="E96" s="4"/>
      <c r="F96" s="4"/>
      <c r="G96" s="3"/>
      <c r="H96" s="3"/>
      <c r="I96" s="3"/>
      <c r="J96" s="3"/>
      <c r="K96" s="3"/>
    </row>
    <row r="97" spans="1:11" x14ac:dyDescent="0.2">
      <c r="A97" s="3"/>
      <c r="B97" s="3"/>
      <c r="C97" s="4"/>
      <c r="D97" s="5"/>
      <c r="E97" s="4"/>
      <c r="F97" s="4"/>
      <c r="G97" s="3"/>
      <c r="H97" s="3"/>
      <c r="I97" s="3"/>
      <c r="J97" s="3"/>
      <c r="K97" s="3"/>
    </row>
    <row r="98" spans="1:11" x14ac:dyDescent="0.2">
      <c r="A98" s="3"/>
      <c r="B98" s="3"/>
      <c r="C98" s="4"/>
      <c r="D98" s="5"/>
      <c r="E98" s="4"/>
      <c r="F98" s="4"/>
      <c r="G98" s="3"/>
      <c r="H98" s="3"/>
      <c r="I98" s="3"/>
      <c r="J98" s="3"/>
      <c r="K98" s="3"/>
    </row>
    <row r="99" spans="1:11" x14ac:dyDescent="0.2">
      <c r="A99" s="3"/>
      <c r="B99" s="3"/>
      <c r="C99" s="4"/>
      <c r="D99" s="5"/>
      <c r="E99" s="4"/>
      <c r="F99" s="4"/>
      <c r="G99" s="3"/>
      <c r="H99" s="3"/>
      <c r="I99" s="3"/>
      <c r="J99" s="3"/>
      <c r="K99" s="3"/>
    </row>
    <row r="100" spans="1:11" x14ac:dyDescent="0.2">
      <c r="A100" s="3"/>
      <c r="B100" s="3"/>
      <c r="C100" s="4"/>
      <c r="D100" s="5"/>
      <c r="E100" s="4"/>
      <c r="F100" s="4"/>
      <c r="G100" s="3"/>
      <c r="H100" s="3"/>
      <c r="I100" s="3"/>
      <c r="J100" s="3"/>
      <c r="K100" s="3"/>
    </row>
    <row r="101" spans="1:11" x14ac:dyDescent="0.2">
      <c r="A101" s="3"/>
      <c r="B101" s="3"/>
      <c r="C101" s="4"/>
      <c r="D101" s="5"/>
      <c r="E101" s="4"/>
      <c r="F101" s="4"/>
      <c r="G101" s="3"/>
      <c r="H101" s="3"/>
      <c r="I101" s="3"/>
      <c r="J101" s="3"/>
      <c r="K101" s="3"/>
    </row>
    <row r="102" spans="1:11" x14ac:dyDescent="0.2">
      <c r="A102" s="3"/>
      <c r="B102" s="3"/>
      <c r="C102" s="4"/>
      <c r="D102" s="5"/>
      <c r="E102" s="4"/>
      <c r="F102" s="4"/>
      <c r="G102" s="3"/>
      <c r="H102" s="3"/>
      <c r="I102" s="3"/>
      <c r="J102" s="3"/>
      <c r="K102" s="3"/>
    </row>
    <row r="103" spans="1:11" x14ac:dyDescent="0.2">
      <c r="A103" s="3"/>
      <c r="B103" s="3"/>
      <c r="C103" s="4"/>
      <c r="D103" s="5"/>
      <c r="E103" s="4"/>
      <c r="F103" s="4"/>
      <c r="G103" s="3"/>
      <c r="H103" s="3"/>
      <c r="I103" s="3"/>
      <c r="J103" s="3"/>
      <c r="K103" s="3"/>
    </row>
    <row r="104" spans="1:11" x14ac:dyDescent="0.2">
      <c r="A104" s="3"/>
      <c r="B104" s="3"/>
      <c r="C104" s="4"/>
      <c r="D104" s="5"/>
      <c r="E104" s="4"/>
      <c r="F104" s="4"/>
      <c r="G104" s="3"/>
      <c r="H104" s="3"/>
      <c r="I104" s="3"/>
      <c r="J104" s="3"/>
      <c r="K104" s="3"/>
    </row>
    <row r="105" spans="1:11" x14ac:dyDescent="0.2">
      <c r="A105" s="3"/>
      <c r="B105" s="3"/>
      <c r="C105" s="4"/>
      <c r="D105" s="5"/>
      <c r="E105" s="4"/>
      <c r="F105" s="4"/>
      <c r="G105" s="3"/>
      <c r="H105" s="3"/>
      <c r="I105" s="3"/>
      <c r="J105" s="3"/>
      <c r="K105" s="3"/>
    </row>
    <row r="106" spans="1:11" x14ac:dyDescent="0.2">
      <c r="A106" s="3"/>
      <c r="B106" s="3"/>
      <c r="C106" s="4"/>
      <c r="D106" s="5"/>
      <c r="E106" s="4"/>
      <c r="F106" s="4"/>
      <c r="G106" s="3"/>
      <c r="H106" s="3"/>
      <c r="I106" s="3"/>
      <c r="J106" s="3"/>
      <c r="K106" s="3"/>
    </row>
    <row r="107" spans="1:11" x14ac:dyDescent="0.2">
      <c r="A107" s="3"/>
      <c r="B107" s="3"/>
      <c r="C107" s="4"/>
      <c r="D107" s="5"/>
      <c r="E107" s="4"/>
      <c r="F107" s="4"/>
      <c r="G107" s="3"/>
      <c r="H107" s="3"/>
      <c r="I107" s="3"/>
      <c r="J107" s="3"/>
      <c r="K107" s="3"/>
    </row>
    <row r="108" spans="1:11" x14ac:dyDescent="0.2">
      <c r="A108" s="3"/>
      <c r="B108" s="3"/>
      <c r="C108" s="4"/>
      <c r="D108" s="5"/>
      <c r="E108" s="4"/>
      <c r="F108" s="4"/>
      <c r="G108" s="3"/>
      <c r="H108" s="3"/>
      <c r="I108" s="3"/>
      <c r="J108" s="3"/>
      <c r="K108" s="3"/>
    </row>
    <row r="109" spans="1:11" x14ac:dyDescent="0.2">
      <c r="A109" s="3"/>
      <c r="B109" s="3"/>
      <c r="C109" s="4"/>
      <c r="D109" s="5"/>
      <c r="E109" s="4"/>
      <c r="F109" s="4"/>
      <c r="G109" s="3"/>
      <c r="H109" s="3"/>
      <c r="I109" s="3"/>
      <c r="J109" s="3"/>
      <c r="K109" s="3"/>
    </row>
    <row r="110" spans="1:11" x14ac:dyDescent="0.2">
      <c r="A110" s="3"/>
      <c r="B110" s="3"/>
      <c r="C110" s="4"/>
      <c r="D110" s="5"/>
      <c r="E110" s="4"/>
      <c r="F110" s="4"/>
      <c r="G110" s="3"/>
      <c r="H110" s="3"/>
      <c r="I110" s="3"/>
      <c r="J110" s="3"/>
      <c r="K110" s="3"/>
    </row>
    <row r="111" spans="1:11" x14ac:dyDescent="0.2">
      <c r="A111" s="3"/>
      <c r="B111" s="3"/>
      <c r="C111" s="4"/>
      <c r="D111" s="5"/>
      <c r="E111" s="4"/>
      <c r="F111" s="4"/>
      <c r="G111" s="3"/>
      <c r="H111" s="3"/>
      <c r="I111" s="3"/>
      <c r="J111" s="3"/>
      <c r="K111" s="3"/>
    </row>
    <row r="112" spans="1:11" x14ac:dyDescent="0.2">
      <c r="A112" s="3"/>
      <c r="B112" s="3"/>
      <c r="C112" s="4"/>
      <c r="D112" s="5"/>
      <c r="E112" s="4"/>
      <c r="F112" s="4"/>
      <c r="G112" s="3"/>
      <c r="H112" s="3"/>
      <c r="I112" s="3"/>
      <c r="J112" s="3"/>
      <c r="K112" s="3"/>
    </row>
    <row r="113" spans="1:11" x14ac:dyDescent="0.2">
      <c r="A113" s="3"/>
      <c r="B113" s="3"/>
      <c r="C113" s="4"/>
      <c r="D113" s="5"/>
      <c r="E113" s="4"/>
      <c r="F113" s="4"/>
      <c r="G113" s="3"/>
      <c r="H113" s="3"/>
      <c r="I113" s="3"/>
      <c r="J113" s="3"/>
      <c r="K113" s="3"/>
    </row>
    <row r="114" spans="1:11" x14ac:dyDescent="0.2">
      <c r="A114" s="3"/>
      <c r="B114" s="3"/>
      <c r="C114" s="4"/>
      <c r="D114" s="5"/>
      <c r="E114" s="4"/>
      <c r="F114" s="4"/>
      <c r="G114" s="3"/>
      <c r="H114" s="3"/>
      <c r="I114" s="3"/>
      <c r="J114" s="3"/>
      <c r="K114" s="3"/>
    </row>
    <row r="115" spans="1:11" x14ac:dyDescent="0.2">
      <c r="A115" s="3"/>
      <c r="B115" s="3"/>
      <c r="C115" s="4"/>
      <c r="D115" s="5"/>
      <c r="E115" s="4"/>
      <c r="F115" s="4"/>
      <c r="G115" s="3"/>
      <c r="H115" s="3"/>
      <c r="I115" s="3"/>
      <c r="J115" s="3"/>
      <c r="K115" s="3"/>
    </row>
    <row r="116" spans="1:11" x14ac:dyDescent="0.2">
      <c r="A116" s="3"/>
      <c r="B116" s="3"/>
      <c r="C116" s="4"/>
      <c r="D116" s="5"/>
      <c r="E116" s="4"/>
      <c r="F116" s="4"/>
      <c r="G116" s="3"/>
      <c r="H116" s="3"/>
      <c r="I116" s="3"/>
      <c r="J116" s="3"/>
      <c r="K116" s="3"/>
    </row>
    <row r="117" spans="1:11" x14ac:dyDescent="0.2">
      <c r="A117" s="3"/>
      <c r="B117" s="3"/>
      <c r="C117" s="4"/>
      <c r="D117" s="5"/>
      <c r="E117" s="4"/>
      <c r="F117" s="4"/>
      <c r="G117" s="3"/>
      <c r="H117" s="3"/>
      <c r="I117" s="3"/>
      <c r="J117" s="3"/>
      <c r="K117" s="3"/>
    </row>
    <row r="118" spans="1:11" x14ac:dyDescent="0.2">
      <c r="A118" s="3"/>
      <c r="B118" s="3"/>
      <c r="C118" s="4"/>
      <c r="D118" s="5"/>
      <c r="E118" s="4"/>
      <c r="F118" s="4"/>
      <c r="G118" s="3"/>
      <c r="H118" s="3"/>
      <c r="I118" s="3"/>
      <c r="J118" s="3"/>
      <c r="K118" s="3"/>
    </row>
    <row r="119" spans="1:11" x14ac:dyDescent="0.2">
      <c r="A119" s="3"/>
      <c r="B119" s="3"/>
      <c r="C119" s="4"/>
      <c r="D119" s="5"/>
      <c r="E119" s="4"/>
      <c r="F119" s="4"/>
      <c r="G119" s="3"/>
      <c r="H119" s="3"/>
      <c r="I119" s="3"/>
      <c r="J119" s="3"/>
      <c r="K119" s="3"/>
    </row>
    <row r="120" spans="1:11" x14ac:dyDescent="0.2">
      <c r="A120" s="3"/>
      <c r="B120" s="3"/>
      <c r="C120" s="4"/>
      <c r="D120" s="5"/>
      <c r="E120" s="4"/>
      <c r="F120" s="4"/>
      <c r="G120" s="3"/>
      <c r="H120" s="3"/>
      <c r="I120" s="3"/>
      <c r="J120" s="3"/>
      <c r="K120" s="3"/>
    </row>
    <row r="121" spans="1:11" x14ac:dyDescent="0.2">
      <c r="A121" s="3"/>
      <c r="B121" s="3"/>
      <c r="C121" s="4"/>
      <c r="D121" s="5"/>
      <c r="E121" s="4"/>
      <c r="F121" s="4"/>
      <c r="G121" s="3"/>
      <c r="H121" s="3"/>
      <c r="I121" s="3"/>
      <c r="J121" s="3"/>
      <c r="K121" s="3"/>
    </row>
    <row r="122" spans="1:11" x14ac:dyDescent="0.2">
      <c r="A122" s="3"/>
      <c r="B122" s="3"/>
      <c r="C122" s="4"/>
      <c r="D122" s="5"/>
      <c r="E122" s="4"/>
      <c r="F122" s="4"/>
      <c r="G122" s="3"/>
      <c r="H122" s="3"/>
      <c r="I122" s="3"/>
      <c r="J122" s="3"/>
      <c r="K122" s="3"/>
    </row>
    <row r="123" spans="1:11" x14ac:dyDescent="0.2">
      <c r="A123" s="3"/>
      <c r="B123" s="3"/>
      <c r="C123" s="4"/>
      <c r="D123" s="5"/>
      <c r="E123" s="4"/>
      <c r="F123" s="4"/>
      <c r="G123" s="3"/>
      <c r="H123" s="3"/>
      <c r="I123" s="3"/>
      <c r="J123" s="3"/>
      <c r="K123" s="3"/>
    </row>
    <row r="124" spans="1:11" x14ac:dyDescent="0.2">
      <c r="A124" s="3"/>
      <c r="B124" s="3"/>
      <c r="C124" s="4"/>
      <c r="D124" s="5"/>
      <c r="E124" s="4"/>
      <c r="F124" s="4"/>
      <c r="G124" s="3"/>
      <c r="H124" s="3"/>
      <c r="I124" s="3"/>
      <c r="J124" s="3"/>
      <c r="K124" s="3"/>
    </row>
    <row r="125" spans="1:11" x14ac:dyDescent="0.2">
      <c r="A125" s="3"/>
      <c r="B125" s="3"/>
      <c r="C125" s="4"/>
      <c r="D125" s="5"/>
      <c r="E125" s="4"/>
      <c r="F125" s="4"/>
      <c r="G125" s="3"/>
      <c r="H125" s="3"/>
      <c r="I125" s="3"/>
      <c r="J125" s="3"/>
      <c r="K125" s="3"/>
    </row>
    <row r="126" spans="1:11" x14ac:dyDescent="0.2">
      <c r="A126" s="3"/>
      <c r="B126" s="3"/>
      <c r="C126" s="4"/>
      <c r="D126" s="5"/>
      <c r="E126" s="4"/>
      <c r="F126" s="4"/>
      <c r="G126" s="3"/>
      <c r="H126" s="3"/>
      <c r="I126" s="3"/>
      <c r="J126" s="3"/>
      <c r="K126" s="3"/>
    </row>
    <row r="127" spans="1:11" x14ac:dyDescent="0.2">
      <c r="A127" s="3"/>
      <c r="B127" s="3"/>
      <c r="C127" s="4"/>
      <c r="D127" s="5"/>
      <c r="E127" s="4"/>
      <c r="F127" s="4"/>
      <c r="G127" s="3"/>
      <c r="H127" s="3"/>
      <c r="I127" s="3"/>
      <c r="J127" s="3"/>
      <c r="K127" s="3"/>
    </row>
    <row r="128" spans="1:11" x14ac:dyDescent="0.2">
      <c r="A128" s="3"/>
      <c r="B128" s="3"/>
      <c r="C128" s="4"/>
      <c r="D128" s="5"/>
      <c r="E128" s="4"/>
      <c r="F128" s="4"/>
      <c r="G128" s="3"/>
      <c r="H128" s="3"/>
      <c r="I128" s="3"/>
      <c r="J128" s="3"/>
      <c r="K128" s="3"/>
    </row>
    <row r="129" spans="1:11" x14ac:dyDescent="0.2">
      <c r="A129" s="3"/>
      <c r="B129" s="3"/>
      <c r="C129" s="4"/>
      <c r="D129" s="5"/>
      <c r="E129" s="4"/>
      <c r="F129" s="4"/>
      <c r="G129" s="3"/>
      <c r="H129" s="3"/>
      <c r="I129" s="3"/>
      <c r="J129" s="3"/>
      <c r="K129" s="3"/>
    </row>
    <row r="130" spans="1:11" x14ac:dyDescent="0.2">
      <c r="A130" s="3"/>
      <c r="B130" s="3"/>
      <c r="C130" s="4"/>
      <c r="D130" s="5"/>
      <c r="E130" s="4"/>
      <c r="F130" s="4"/>
      <c r="G130" s="3"/>
      <c r="H130" s="3"/>
      <c r="I130" s="3"/>
      <c r="J130" s="3"/>
      <c r="K130" s="3"/>
    </row>
    <row r="131" spans="1:11" x14ac:dyDescent="0.2">
      <c r="A131" s="3"/>
      <c r="B131" s="3"/>
      <c r="C131" s="4"/>
      <c r="D131" s="5"/>
      <c r="E131" s="4"/>
      <c r="F131" s="4"/>
      <c r="G131" s="3"/>
      <c r="H131" s="3"/>
      <c r="I131" s="3"/>
      <c r="J131" s="3"/>
      <c r="K131" s="3"/>
    </row>
    <row r="132" spans="1:11" x14ac:dyDescent="0.2">
      <c r="A132" s="3"/>
      <c r="B132" s="3"/>
      <c r="C132" s="4"/>
      <c r="D132" s="5"/>
      <c r="E132" s="4"/>
      <c r="F132" s="4"/>
      <c r="G132" s="3"/>
      <c r="H132" s="3"/>
      <c r="I132" s="3"/>
      <c r="J132" s="3"/>
      <c r="K132" s="3"/>
    </row>
    <row r="133" spans="1:11" x14ac:dyDescent="0.2">
      <c r="A133" s="3"/>
      <c r="B133" s="3"/>
      <c r="C133" s="4"/>
      <c r="D133" s="5"/>
      <c r="E133" s="4"/>
      <c r="F133" s="4"/>
      <c r="G133" s="3"/>
      <c r="H133" s="3"/>
      <c r="I133" s="3"/>
      <c r="J133" s="3"/>
      <c r="K133" s="3"/>
    </row>
    <row r="134" spans="1:11" x14ac:dyDescent="0.2">
      <c r="A134" s="3"/>
      <c r="B134" s="3"/>
      <c r="C134" s="4"/>
      <c r="D134" s="5"/>
      <c r="E134" s="4"/>
      <c r="F134" s="4"/>
      <c r="G134" s="3"/>
      <c r="H134" s="3"/>
      <c r="I134" s="3"/>
      <c r="J134" s="3"/>
      <c r="K134" s="3"/>
    </row>
    <row r="135" spans="1:11" x14ac:dyDescent="0.2">
      <c r="A135" s="3"/>
      <c r="B135" s="3"/>
      <c r="C135" s="4"/>
      <c r="D135" s="5"/>
      <c r="E135" s="4"/>
      <c r="F135" s="4"/>
      <c r="G135" s="3"/>
      <c r="H135" s="3"/>
      <c r="I135" s="3"/>
      <c r="J135" s="3"/>
      <c r="K135" s="3"/>
    </row>
    <row r="136" spans="1:11" x14ac:dyDescent="0.2">
      <c r="A136" s="3"/>
      <c r="B136" s="3"/>
      <c r="C136" s="4"/>
      <c r="D136" s="5"/>
      <c r="E136" s="4"/>
      <c r="F136" s="4"/>
      <c r="G136" s="3"/>
      <c r="H136" s="3"/>
      <c r="I136" s="3"/>
      <c r="J136" s="3"/>
      <c r="K136" s="3"/>
    </row>
    <row r="137" spans="1:11" x14ac:dyDescent="0.2">
      <c r="A137" s="3"/>
      <c r="B137" s="3"/>
      <c r="C137" s="4"/>
      <c r="D137" s="5"/>
      <c r="E137" s="4"/>
      <c r="F137" s="4"/>
      <c r="G137" s="3"/>
      <c r="H137" s="3"/>
      <c r="I137" s="3"/>
      <c r="J137" s="3"/>
      <c r="K137" s="3"/>
    </row>
    <row r="138" spans="1:11" x14ac:dyDescent="0.2">
      <c r="A138" s="3"/>
      <c r="B138" s="3"/>
      <c r="C138" s="4"/>
      <c r="D138" s="5"/>
      <c r="E138" s="4"/>
      <c r="F138" s="4"/>
      <c r="G138" s="3"/>
      <c r="H138" s="3"/>
      <c r="I138" s="3"/>
      <c r="J138" s="3"/>
      <c r="K138" s="3"/>
    </row>
    <row r="139" spans="1:11" x14ac:dyDescent="0.2">
      <c r="A139" s="3"/>
      <c r="B139" s="3"/>
      <c r="C139" s="4"/>
      <c r="D139" s="5"/>
      <c r="E139" s="4"/>
      <c r="F139" s="4"/>
      <c r="G139" s="3"/>
      <c r="H139" s="3"/>
      <c r="I139" s="3"/>
      <c r="J139" s="3"/>
      <c r="K139" s="3"/>
    </row>
    <row r="140" spans="1:11" x14ac:dyDescent="0.2">
      <c r="A140" s="3"/>
      <c r="B140" s="3"/>
      <c r="C140" s="4"/>
      <c r="D140" s="5"/>
      <c r="E140" s="4"/>
      <c r="F140" s="4"/>
      <c r="G140" s="3"/>
      <c r="H140" s="3"/>
      <c r="I140" s="3"/>
      <c r="J140" s="3"/>
      <c r="K140" s="3"/>
    </row>
    <row r="141" spans="1:11" x14ac:dyDescent="0.2">
      <c r="A141" s="3"/>
      <c r="B141" s="3"/>
      <c r="C141" s="4"/>
      <c r="D141" s="5"/>
      <c r="E141" s="4"/>
      <c r="F141" s="4"/>
      <c r="G141" s="3"/>
      <c r="H141" s="3"/>
      <c r="I141" s="3"/>
      <c r="J141" s="3"/>
      <c r="K141" s="3"/>
    </row>
    <row r="142" spans="1:11" x14ac:dyDescent="0.2">
      <c r="A142" s="3"/>
      <c r="B142" s="3"/>
      <c r="C142" s="4"/>
      <c r="D142" s="5"/>
      <c r="E142" s="4"/>
      <c r="F142" s="4"/>
      <c r="G142" s="3"/>
      <c r="H142" s="3"/>
      <c r="I142" s="3"/>
      <c r="J142" s="3"/>
      <c r="K142" s="3"/>
    </row>
    <row r="143" spans="1:11" x14ac:dyDescent="0.2">
      <c r="A143" s="3"/>
      <c r="B143" s="3"/>
      <c r="C143" s="4"/>
      <c r="D143" s="5"/>
      <c r="E143" s="4"/>
      <c r="F143" s="4"/>
      <c r="G143" s="3"/>
      <c r="H143" s="3"/>
      <c r="I143" s="3"/>
      <c r="J143" s="3"/>
      <c r="K143" s="3"/>
    </row>
    <row r="144" spans="1:11" x14ac:dyDescent="0.2">
      <c r="A144" s="3"/>
      <c r="B144" s="3"/>
      <c r="C144" s="4"/>
      <c r="D144" s="5"/>
      <c r="E144" s="4"/>
      <c r="F144" s="4"/>
      <c r="G144" s="3"/>
      <c r="H144" s="3"/>
      <c r="I144" s="3"/>
      <c r="J144" s="3"/>
      <c r="K144" s="3"/>
    </row>
    <row r="145" spans="1:11" x14ac:dyDescent="0.2">
      <c r="A145" s="3"/>
      <c r="B145" s="3"/>
      <c r="C145" s="4"/>
      <c r="D145" s="5"/>
      <c r="E145" s="4"/>
      <c r="F145" s="4"/>
      <c r="G145" s="3"/>
      <c r="H145" s="3"/>
      <c r="I145" s="3"/>
      <c r="J145" s="3"/>
      <c r="K145" s="3"/>
    </row>
    <row r="146" spans="1:11" x14ac:dyDescent="0.2">
      <c r="A146" s="3"/>
      <c r="B146" s="3"/>
      <c r="C146" s="4"/>
      <c r="D146" s="5"/>
      <c r="E146" s="4"/>
      <c r="F146" s="4"/>
      <c r="G146" s="3"/>
      <c r="H146" s="3"/>
      <c r="I146" s="3"/>
      <c r="J146" s="3"/>
      <c r="K146" s="3"/>
    </row>
    <row r="147" spans="1:11" x14ac:dyDescent="0.2">
      <c r="A147" s="3"/>
      <c r="B147" s="3"/>
      <c r="C147" s="4"/>
      <c r="D147" s="5"/>
      <c r="E147" s="4"/>
      <c r="F147" s="4"/>
      <c r="G147" s="3"/>
      <c r="H147" s="3"/>
      <c r="I147" s="3"/>
      <c r="J147" s="3"/>
      <c r="K147" s="3"/>
    </row>
    <row r="148" spans="1:11" x14ac:dyDescent="0.2">
      <c r="A148" s="3"/>
      <c r="B148" s="3"/>
      <c r="C148" s="4"/>
      <c r="D148" s="5"/>
      <c r="E148" s="4"/>
      <c r="F148" s="4"/>
      <c r="G148" s="3"/>
      <c r="H148" s="3"/>
      <c r="I148" s="3"/>
      <c r="J148" s="3"/>
      <c r="K148" s="3"/>
    </row>
    <row r="149" spans="1:11" x14ac:dyDescent="0.2">
      <c r="A149" s="3"/>
      <c r="B149" s="3"/>
      <c r="C149" s="4"/>
      <c r="D149" s="5"/>
      <c r="E149" s="4"/>
      <c r="F149" s="4"/>
      <c r="G149" s="3"/>
      <c r="H149" s="3"/>
      <c r="I149" s="3"/>
      <c r="J149" s="3"/>
      <c r="K149" s="3"/>
    </row>
    <row r="150" spans="1:11" x14ac:dyDescent="0.2">
      <c r="A150" s="3"/>
      <c r="B150" s="3"/>
      <c r="C150" s="4"/>
      <c r="D150" s="5"/>
      <c r="E150" s="4"/>
      <c r="F150" s="4"/>
      <c r="G150" s="3"/>
      <c r="H150" s="3"/>
      <c r="I150" s="3"/>
      <c r="J150" s="3"/>
      <c r="K150" s="3"/>
    </row>
    <row r="151" spans="1:11" x14ac:dyDescent="0.2">
      <c r="A151" s="3"/>
      <c r="B151" s="3"/>
      <c r="C151" s="4"/>
      <c r="D151" s="5"/>
      <c r="E151" s="4"/>
      <c r="F151" s="4"/>
      <c r="G151" s="3"/>
      <c r="H151" s="3"/>
      <c r="I151" s="3"/>
      <c r="J151" s="3"/>
      <c r="K151" s="3"/>
    </row>
    <row r="152" spans="1:11" x14ac:dyDescent="0.2">
      <c r="A152" s="3"/>
      <c r="B152" s="3"/>
      <c r="C152" s="4"/>
      <c r="D152" s="5"/>
      <c r="E152" s="4"/>
      <c r="F152" s="4"/>
      <c r="G152" s="3"/>
      <c r="H152" s="3"/>
      <c r="I152" s="3"/>
      <c r="J152" s="3"/>
      <c r="K152" s="3"/>
    </row>
    <row r="153" spans="1:11" x14ac:dyDescent="0.2">
      <c r="A153" s="3"/>
      <c r="B153" s="3"/>
      <c r="C153" s="4"/>
      <c r="D153" s="5"/>
      <c r="E153" s="4"/>
      <c r="F153" s="4"/>
      <c r="G153" s="3"/>
      <c r="H153" s="3"/>
      <c r="I153" s="3"/>
      <c r="J153" s="3"/>
      <c r="K153" s="3"/>
    </row>
    <row r="154" spans="1:11" x14ac:dyDescent="0.2">
      <c r="A154" s="3"/>
      <c r="B154" s="3"/>
      <c r="C154" s="4"/>
      <c r="D154" s="5"/>
      <c r="E154" s="4"/>
      <c r="F154" s="4"/>
      <c r="G154" s="3"/>
      <c r="H154" s="3"/>
      <c r="I154" s="3"/>
      <c r="J154" s="3"/>
      <c r="K154" s="3"/>
    </row>
    <row r="155" spans="1:11" x14ac:dyDescent="0.2">
      <c r="A155" s="3"/>
      <c r="B155" s="3"/>
      <c r="C155" s="4"/>
      <c r="D155" s="5"/>
      <c r="E155" s="4"/>
      <c r="F155" s="4"/>
      <c r="G155" s="3"/>
      <c r="H155" s="3"/>
      <c r="I155" s="3"/>
      <c r="J155" s="3"/>
      <c r="K155" s="3"/>
    </row>
    <row r="156" spans="1:11" x14ac:dyDescent="0.2">
      <c r="A156" s="3"/>
      <c r="B156" s="3"/>
      <c r="C156" s="4"/>
      <c r="D156" s="5"/>
      <c r="E156" s="4"/>
      <c r="F156" s="4"/>
      <c r="G156" s="3"/>
      <c r="H156" s="3"/>
      <c r="I156" s="3"/>
      <c r="J156" s="3"/>
      <c r="K156" s="3"/>
    </row>
    <row r="157" spans="1:11" x14ac:dyDescent="0.2">
      <c r="A157" s="3"/>
      <c r="B157" s="3"/>
      <c r="C157" s="4"/>
      <c r="D157" s="5"/>
      <c r="E157" s="4"/>
      <c r="F157" s="4"/>
      <c r="G157" s="3"/>
      <c r="H157" s="3"/>
      <c r="I157" s="3"/>
      <c r="J157" s="3"/>
      <c r="K157" s="3"/>
    </row>
    <row r="158" spans="1:11" x14ac:dyDescent="0.2">
      <c r="A158" s="3"/>
      <c r="B158" s="3"/>
      <c r="C158" s="4"/>
      <c r="D158" s="5"/>
      <c r="E158" s="4"/>
      <c r="F158" s="4"/>
      <c r="G158" s="3"/>
      <c r="H158" s="3"/>
      <c r="I158" s="3"/>
      <c r="J158" s="3"/>
      <c r="K158" s="3"/>
    </row>
    <row r="159" spans="1:11" x14ac:dyDescent="0.2">
      <c r="A159" s="3"/>
      <c r="B159" s="3"/>
      <c r="C159" s="4"/>
      <c r="D159" s="5"/>
      <c r="E159" s="4"/>
      <c r="F159" s="4"/>
      <c r="G159" s="3"/>
      <c r="H159" s="3"/>
      <c r="I159" s="3"/>
      <c r="J159" s="3"/>
      <c r="K159" s="3"/>
    </row>
    <row r="160" spans="1:11" x14ac:dyDescent="0.2">
      <c r="A160" s="3"/>
      <c r="B160" s="3"/>
      <c r="C160" s="3"/>
      <c r="D160" s="3"/>
      <c r="E160" s="4"/>
      <c r="F160" s="4"/>
      <c r="G160" s="3"/>
      <c r="H160" s="3"/>
      <c r="I160" s="3"/>
      <c r="J160" s="3"/>
      <c r="K160" s="3"/>
    </row>
    <row r="161" spans="1:11" x14ac:dyDescent="0.2">
      <c r="A161" s="3"/>
      <c r="B161" s="3"/>
      <c r="C161" s="3"/>
      <c r="D161" s="3"/>
      <c r="E161" s="4"/>
      <c r="F161" s="4"/>
      <c r="G161" s="3"/>
      <c r="H161" s="3"/>
      <c r="I161" s="3"/>
      <c r="J161" s="3"/>
      <c r="K161" s="3"/>
    </row>
    <row r="162" spans="1:11" x14ac:dyDescent="0.2">
      <c r="A162" s="3"/>
      <c r="B162" s="3"/>
      <c r="C162" s="3"/>
      <c r="D162" s="3"/>
      <c r="E162" s="4"/>
      <c r="F162" s="4"/>
      <c r="G162" s="3"/>
      <c r="H162" s="3"/>
      <c r="I162" s="3"/>
      <c r="J162" s="3"/>
      <c r="K162" s="3"/>
    </row>
    <row r="163" spans="1:11" x14ac:dyDescent="0.2">
      <c r="A163" s="3"/>
      <c r="B163" s="3"/>
      <c r="C163" s="3"/>
      <c r="D163" s="3"/>
      <c r="E163" s="4"/>
      <c r="F163" s="4"/>
      <c r="G163" s="3"/>
      <c r="H163" s="3"/>
      <c r="I163" s="3"/>
      <c r="J163" s="3"/>
      <c r="K163" s="3"/>
    </row>
    <row r="164" spans="1:11" x14ac:dyDescent="0.2">
      <c r="A164" s="3"/>
      <c r="B164" s="3"/>
      <c r="C164" s="3"/>
      <c r="D164" s="3"/>
      <c r="E164" s="4"/>
      <c r="F164" s="4"/>
      <c r="G164" s="3"/>
      <c r="H164" s="3"/>
      <c r="I164" s="3"/>
      <c r="J164" s="3"/>
      <c r="K164" s="3"/>
    </row>
    <row r="165" spans="1:11" x14ac:dyDescent="0.2">
      <c r="A165" s="3"/>
      <c r="B165" s="3"/>
      <c r="C165" s="3"/>
      <c r="D165" s="3"/>
      <c r="E165" s="4"/>
      <c r="F165" s="4"/>
      <c r="G165" s="3"/>
      <c r="H165" s="3"/>
      <c r="I165" s="3"/>
      <c r="J165" s="3"/>
      <c r="K165" s="3"/>
    </row>
    <row r="166" spans="1:11" x14ac:dyDescent="0.2">
      <c r="A166" s="3"/>
      <c r="B166" s="3"/>
      <c r="C166" s="3"/>
      <c r="D166" s="3"/>
      <c r="E166" s="4"/>
      <c r="F166" s="4"/>
      <c r="G166" s="3"/>
      <c r="H166" s="3"/>
      <c r="I166" s="3"/>
      <c r="J166" s="3"/>
      <c r="K166" s="3"/>
    </row>
    <row r="167" spans="1:11" x14ac:dyDescent="0.2">
      <c r="A167" s="3"/>
      <c r="B167" s="3"/>
      <c r="C167" s="3"/>
      <c r="D167" s="3"/>
      <c r="E167" s="4"/>
      <c r="F167" s="4"/>
      <c r="G167" s="3"/>
      <c r="H167" s="3"/>
      <c r="I167" s="3"/>
      <c r="J167" s="3"/>
      <c r="K167" s="3"/>
    </row>
    <row r="168" spans="1:11" x14ac:dyDescent="0.2">
      <c r="A168" s="3"/>
      <c r="B168" s="3"/>
      <c r="C168" s="3"/>
      <c r="D168" s="3"/>
      <c r="E168" s="4"/>
      <c r="F168" s="4"/>
      <c r="G168" s="3"/>
      <c r="H168" s="3"/>
      <c r="I168" s="3"/>
      <c r="J168" s="3"/>
      <c r="K168" s="3"/>
    </row>
    <row r="169" spans="1:11" x14ac:dyDescent="0.2">
      <c r="A169" s="3"/>
      <c r="B169" s="3"/>
      <c r="C169" s="3"/>
      <c r="D169" s="3"/>
      <c r="E169" s="4"/>
      <c r="F169" s="4"/>
      <c r="G169" s="3"/>
      <c r="H169" s="3"/>
      <c r="I169" s="3"/>
      <c r="J169" s="3"/>
      <c r="K169" s="3"/>
    </row>
  </sheetData>
  <mergeCells count="5">
    <mergeCell ref="A1:A2"/>
    <mergeCell ref="B1:B2"/>
    <mergeCell ref="C1:D1"/>
    <mergeCell ref="G1:H2"/>
    <mergeCell ref="E1:F1"/>
  </mergeCells>
  <conditionalFormatting sqref="A4:H89">
    <cfRule type="expression" dxfId="1" priority="1">
      <formula>AND($E4=0,$E4&lt;&gt;"")</formula>
    </cfRule>
  </conditionalFormatting>
  <conditionalFormatting sqref="A4:H89">
    <cfRule type="expression" dxfId="0" priority="2">
      <formula>AND($F4=0,$F4&lt;&gt;"")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7"/>
  <sheetViews>
    <sheetView workbookViewId="0"/>
  </sheetViews>
  <sheetFormatPr defaultColWidth="12.6640625" defaultRowHeight="15" customHeight="1" x14ac:dyDescent="0.2"/>
  <cols>
    <col min="1" max="1" width="28.21875" customWidth="1"/>
    <col min="2" max="2" width="14.44140625" customWidth="1"/>
    <col min="3" max="3" width="15.44140625" customWidth="1"/>
    <col min="4" max="4" width="21.44140625" customWidth="1"/>
    <col min="5" max="5" width="4.109375" customWidth="1"/>
    <col min="6" max="6" width="25.44140625" customWidth="1"/>
    <col min="7" max="13" width="8.6640625" customWidth="1"/>
  </cols>
  <sheetData>
    <row r="1" spans="1:2" ht="15" customHeight="1" x14ac:dyDescent="0.2">
      <c r="A1" s="2" t="s">
        <v>0</v>
      </c>
      <c r="B1" t="s">
        <v>109</v>
      </c>
    </row>
    <row r="3" spans="1:2" ht="15" customHeight="1" x14ac:dyDescent="0.2">
      <c r="A3" s="2" t="s">
        <v>110</v>
      </c>
      <c r="B3" t="s">
        <v>111</v>
      </c>
    </row>
    <row r="4" spans="1:2" ht="15" customHeight="1" x14ac:dyDescent="0.2">
      <c r="A4" s="12" t="s">
        <v>46</v>
      </c>
      <c r="B4" s="2">
        <v>0.2</v>
      </c>
    </row>
    <row r="5" spans="1:2" ht="15" customHeight="1" x14ac:dyDescent="0.2">
      <c r="A5" s="12" t="s">
        <v>40</v>
      </c>
      <c r="B5" s="2">
        <v>0.4</v>
      </c>
    </row>
    <row r="6" spans="1:2" ht="15" customHeight="1" x14ac:dyDescent="0.2">
      <c r="A6" s="12" t="s">
        <v>35</v>
      </c>
      <c r="B6" s="2">
        <v>0.7</v>
      </c>
    </row>
    <row r="7" spans="1:2" ht="15" customHeight="1" x14ac:dyDescent="0.2">
      <c r="A7" s="12" t="s">
        <v>84</v>
      </c>
      <c r="B7" s="2">
        <v>0.79999999999999993</v>
      </c>
    </row>
    <row r="8" spans="1:2" ht="15" customHeight="1" x14ac:dyDescent="0.2">
      <c r="A8" s="12" t="s">
        <v>68</v>
      </c>
      <c r="B8" s="2">
        <v>0.8</v>
      </c>
    </row>
    <row r="9" spans="1:2" ht="15" customHeight="1" x14ac:dyDescent="0.2">
      <c r="A9" s="12" t="s">
        <v>41</v>
      </c>
      <c r="B9" s="2">
        <v>0.9</v>
      </c>
    </row>
    <row r="10" spans="1:2" ht="15" customHeight="1" x14ac:dyDescent="0.2">
      <c r="A10" s="12" t="s">
        <v>55</v>
      </c>
      <c r="B10" s="2">
        <v>1</v>
      </c>
    </row>
    <row r="11" spans="1:2" ht="15" customHeight="1" x14ac:dyDescent="0.2">
      <c r="A11" s="12" t="s">
        <v>85</v>
      </c>
      <c r="B11" s="2">
        <v>1</v>
      </c>
    </row>
    <row r="12" spans="1:2" ht="15" customHeight="1" x14ac:dyDescent="0.2">
      <c r="A12" s="12" t="s">
        <v>72</v>
      </c>
      <c r="B12" s="2">
        <v>1</v>
      </c>
    </row>
    <row r="13" spans="1:2" ht="15" customHeight="1" x14ac:dyDescent="0.2">
      <c r="A13" s="12" t="s">
        <v>49</v>
      </c>
      <c r="B13" s="2">
        <v>1.1000000000000001</v>
      </c>
    </row>
    <row r="14" spans="1:2" ht="15" customHeight="1" x14ac:dyDescent="0.2">
      <c r="A14" s="12" t="s">
        <v>86</v>
      </c>
      <c r="B14" s="2">
        <v>1.1000000000000001</v>
      </c>
    </row>
    <row r="15" spans="1:2" ht="15" customHeight="1" x14ac:dyDescent="0.2">
      <c r="A15" s="12" t="s">
        <v>36</v>
      </c>
      <c r="B15" s="2">
        <v>1.2</v>
      </c>
    </row>
    <row r="16" spans="1:2" ht="15" customHeight="1" x14ac:dyDescent="0.2">
      <c r="A16" s="12" t="s">
        <v>87</v>
      </c>
      <c r="B16" s="2">
        <v>1.2000000000000002</v>
      </c>
    </row>
    <row r="17" spans="1:2" ht="15" customHeight="1" x14ac:dyDescent="0.2">
      <c r="A17" s="12" t="s">
        <v>16</v>
      </c>
      <c r="B17" s="2">
        <v>1.3</v>
      </c>
    </row>
    <row r="18" spans="1:2" ht="15" customHeight="1" x14ac:dyDescent="0.2">
      <c r="A18" s="12" t="s">
        <v>73</v>
      </c>
      <c r="B18" s="2">
        <v>1.5999999999999999</v>
      </c>
    </row>
    <row r="19" spans="1:2" ht="15" customHeight="1" x14ac:dyDescent="0.2">
      <c r="A19" s="12" t="s">
        <v>42</v>
      </c>
      <c r="B19" s="2">
        <v>1.7</v>
      </c>
    </row>
    <row r="20" spans="1:2" ht="15" customHeight="1" x14ac:dyDescent="0.2">
      <c r="A20" s="12" t="s">
        <v>43</v>
      </c>
      <c r="B20" s="2">
        <v>1.8</v>
      </c>
    </row>
    <row r="21" spans="1:2" ht="15" customHeight="1" x14ac:dyDescent="0.2">
      <c r="A21" s="12" t="s">
        <v>69</v>
      </c>
      <c r="B21" s="2">
        <v>2.4</v>
      </c>
    </row>
    <row r="22" spans="1:2" ht="15" customHeight="1" x14ac:dyDescent="0.2">
      <c r="A22" s="12" t="s">
        <v>37</v>
      </c>
      <c r="B22" s="2">
        <v>2.9</v>
      </c>
    </row>
    <row r="23" spans="1:2" ht="15" customHeight="1" x14ac:dyDescent="0.2">
      <c r="A23" s="12" t="s">
        <v>56</v>
      </c>
      <c r="B23" s="2">
        <v>3.1</v>
      </c>
    </row>
    <row r="24" spans="1:2" ht="15" customHeight="1" x14ac:dyDescent="0.2">
      <c r="A24" s="12" t="s">
        <v>88</v>
      </c>
      <c r="B24" s="2">
        <v>3.2</v>
      </c>
    </row>
    <row r="25" spans="1:2" ht="15" customHeight="1" x14ac:dyDescent="0.2">
      <c r="A25" s="12" t="s">
        <v>63</v>
      </c>
      <c r="B25" s="2">
        <v>3.2</v>
      </c>
    </row>
    <row r="26" spans="1:2" ht="15" customHeight="1" x14ac:dyDescent="0.2">
      <c r="A26" s="12" t="s">
        <v>58</v>
      </c>
      <c r="B26" s="2">
        <v>3.2</v>
      </c>
    </row>
    <row r="27" spans="1:2" ht="15" customHeight="1" x14ac:dyDescent="0.2">
      <c r="A27" s="12" t="s">
        <v>26</v>
      </c>
      <c r="B27" s="2">
        <v>3.3</v>
      </c>
    </row>
    <row r="28" spans="1:2" ht="15" customHeight="1" x14ac:dyDescent="0.2">
      <c r="A28" s="12" t="s">
        <v>44</v>
      </c>
      <c r="B28" s="2">
        <v>3.7</v>
      </c>
    </row>
    <row r="29" spans="1:2" ht="15" customHeight="1" x14ac:dyDescent="0.2">
      <c r="A29" s="12" t="s">
        <v>30</v>
      </c>
      <c r="B29" s="2">
        <v>4.0999999999999996</v>
      </c>
    </row>
    <row r="30" spans="1:2" ht="15" customHeight="1" x14ac:dyDescent="0.2">
      <c r="A30" s="12" t="s">
        <v>112</v>
      </c>
      <c r="B30" s="2">
        <v>4.1999999999999993</v>
      </c>
    </row>
    <row r="31" spans="1:2" ht="15" customHeight="1" x14ac:dyDescent="0.2">
      <c r="A31" s="12" t="s">
        <v>31</v>
      </c>
      <c r="B31" s="2">
        <v>4.2</v>
      </c>
    </row>
    <row r="32" spans="1:2" ht="15" customHeight="1" x14ac:dyDescent="0.2">
      <c r="A32" s="12" t="s">
        <v>74</v>
      </c>
      <c r="B32" s="2">
        <v>4.2</v>
      </c>
    </row>
    <row r="33" spans="1:2" ht="15" customHeight="1" x14ac:dyDescent="0.2">
      <c r="A33" s="12" t="s">
        <v>64</v>
      </c>
      <c r="B33" s="2">
        <v>4.3</v>
      </c>
    </row>
    <row r="34" spans="1:2" ht="15" customHeight="1" x14ac:dyDescent="0.2">
      <c r="A34" s="12" t="s">
        <v>113</v>
      </c>
      <c r="B34" s="2">
        <v>4.3</v>
      </c>
    </row>
    <row r="35" spans="1:2" ht="15" customHeight="1" x14ac:dyDescent="0.2">
      <c r="A35" s="12" t="s">
        <v>90</v>
      </c>
      <c r="B35" s="2">
        <v>4.8</v>
      </c>
    </row>
    <row r="36" spans="1:2" ht="15" customHeight="1" x14ac:dyDescent="0.2">
      <c r="A36" s="12" t="s">
        <v>75</v>
      </c>
      <c r="B36" s="2">
        <v>4.8</v>
      </c>
    </row>
    <row r="37" spans="1:2" ht="15" customHeight="1" x14ac:dyDescent="0.2">
      <c r="A37" s="12" t="s">
        <v>51</v>
      </c>
      <c r="B37" s="2">
        <v>5.6</v>
      </c>
    </row>
    <row r="38" spans="1:2" ht="15" customHeight="1" x14ac:dyDescent="0.2">
      <c r="A38" s="12" t="s">
        <v>76</v>
      </c>
      <c r="B38" s="2">
        <v>6</v>
      </c>
    </row>
    <row r="39" spans="1:2" ht="15" customHeight="1" x14ac:dyDescent="0.2">
      <c r="A39" s="12" t="s">
        <v>32</v>
      </c>
      <c r="B39" s="2">
        <v>6.1</v>
      </c>
    </row>
    <row r="40" spans="1:2" x14ac:dyDescent="0.2">
      <c r="A40" s="12" t="s">
        <v>91</v>
      </c>
      <c r="B40" s="2">
        <v>6.1999999999999993</v>
      </c>
    </row>
    <row r="41" spans="1:2" x14ac:dyDescent="0.2">
      <c r="A41" s="12" t="s">
        <v>59</v>
      </c>
      <c r="B41" s="2">
        <v>6.3</v>
      </c>
    </row>
    <row r="42" spans="1:2" x14ac:dyDescent="0.2">
      <c r="A42" s="12" t="s">
        <v>65</v>
      </c>
      <c r="B42" s="2">
        <v>6.6</v>
      </c>
    </row>
    <row r="43" spans="1:2" x14ac:dyDescent="0.2">
      <c r="A43" s="12" t="s">
        <v>38</v>
      </c>
      <c r="B43" s="2">
        <v>6.8</v>
      </c>
    </row>
    <row r="44" spans="1:2" x14ac:dyDescent="0.2">
      <c r="A44" s="12" t="s">
        <v>52</v>
      </c>
      <c r="B44" s="2">
        <v>7</v>
      </c>
    </row>
    <row r="45" spans="1:2" x14ac:dyDescent="0.2">
      <c r="A45" s="12" t="s">
        <v>93</v>
      </c>
      <c r="B45" s="2">
        <v>7</v>
      </c>
    </row>
    <row r="46" spans="1:2" x14ac:dyDescent="0.2">
      <c r="A46" s="12" t="s">
        <v>114</v>
      </c>
      <c r="B46" s="2">
        <v>8</v>
      </c>
    </row>
    <row r="47" spans="1:2" x14ac:dyDescent="0.2">
      <c r="A47" s="12" t="s">
        <v>47</v>
      </c>
      <c r="B47" s="2">
        <v>8.3000000000000007</v>
      </c>
    </row>
    <row r="48" spans="1:2" x14ac:dyDescent="0.2">
      <c r="A48" s="12" t="s">
        <v>20</v>
      </c>
      <c r="B48" s="2">
        <v>8.6999999999999993</v>
      </c>
    </row>
    <row r="49" spans="1:2" x14ac:dyDescent="0.2">
      <c r="A49" s="12" t="s">
        <v>27</v>
      </c>
      <c r="B49" s="2">
        <v>9.4</v>
      </c>
    </row>
    <row r="50" spans="1:2" x14ac:dyDescent="0.2">
      <c r="A50" s="12" t="s">
        <v>97</v>
      </c>
      <c r="B50" s="2">
        <v>9.5</v>
      </c>
    </row>
    <row r="51" spans="1:2" x14ac:dyDescent="0.2">
      <c r="A51" s="12" t="s">
        <v>22</v>
      </c>
      <c r="B51" s="2">
        <v>9.6</v>
      </c>
    </row>
    <row r="52" spans="1:2" x14ac:dyDescent="0.2">
      <c r="A52" s="12" t="s">
        <v>53</v>
      </c>
      <c r="B52" s="2">
        <v>10</v>
      </c>
    </row>
    <row r="53" spans="1:2" x14ac:dyDescent="0.2">
      <c r="A53" s="12" t="s">
        <v>54</v>
      </c>
      <c r="B53" s="2">
        <v>15.7</v>
      </c>
    </row>
    <row r="54" spans="1:2" x14ac:dyDescent="0.2">
      <c r="A54" s="12" t="s">
        <v>104</v>
      </c>
      <c r="B54" s="2">
        <v>15.8</v>
      </c>
    </row>
    <row r="55" spans="1:2" x14ac:dyDescent="0.2">
      <c r="A55" s="12" t="s">
        <v>98</v>
      </c>
      <c r="B55" s="2">
        <v>16</v>
      </c>
    </row>
    <row r="56" spans="1:2" x14ac:dyDescent="0.2">
      <c r="A56" s="12" t="s">
        <v>70</v>
      </c>
      <c r="B56" s="2">
        <v>16.3</v>
      </c>
    </row>
    <row r="57" spans="1:2" x14ac:dyDescent="0.2">
      <c r="A57" s="12" t="s">
        <v>115</v>
      </c>
      <c r="B57" s="2">
        <v>17.399999999999999</v>
      </c>
    </row>
    <row r="58" spans="1:2" x14ac:dyDescent="0.2">
      <c r="A58" s="12" t="s">
        <v>92</v>
      </c>
      <c r="B58" s="2">
        <v>18.2</v>
      </c>
    </row>
    <row r="59" spans="1:2" x14ac:dyDescent="0.2">
      <c r="A59" s="12" t="s">
        <v>33</v>
      </c>
      <c r="B59" s="2">
        <v>20.9</v>
      </c>
    </row>
    <row r="60" spans="1:2" x14ac:dyDescent="0.2">
      <c r="A60" s="12" t="s">
        <v>24</v>
      </c>
      <c r="B60" s="2">
        <v>23.8</v>
      </c>
    </row>
    <row r="61" spans="1:2" x14ac:dyDescent="0.2">
      <c r="A61" s="12" t="s">
        <v>116</v>
      </c>
      <c r="B61" s="2">
        <v>24.4</v>
      </c>
    </row>
    <row r="62" spans="1:2" x14ac:dyDescent="0.2">
      <c r="A62" s="12" t="s">
        <v>102</v>
      </c>
      <c r="B62" s="2">
        <v>30.5</v>
      </c>
    </row>
    <row r="63" spans="1:2" x14ac:dyDescent="0.2">
      <c r="A63" s="12" t="s">
        <v>117</v>
      </c>
      <c r="B63" s="2">
        <v>34.299999999999997</v>
      </c>
    </row>
    <row r="64" spans="1:2" x14ac:dyDescent="0.2">
      <c r="A64" s="12" t="s">
        <v>25</v>
      </c>
      <c r="B64" s="2">
        <v>38.6</v>
      </c>
    </row>
    <row r="65" spans="1:2" x14ac:dyDescent="0.2">
      <c r="A65" s="12" t="s">
        <v>100</v>
      </c>
      <c r="B65" s="2">
        <v>49.1</v>
      </c>
    </row>
    <row r="66" spans="1:2" x14ac:dyDescent="0.2">
      <c r="A66" s="12" t="s">
        <v>105</v>
      </c>
      <c r="B66" s="2">
        <v>113.9</v>
      </c>
    </row>
    <row r="67" spans="1:2" x14ac:dyDescent="0.2">
      <c r="A67" s="12" t="s">
        <v>118</v>
      </c>
      <c r="B67" s="2">
        <v>633.70000000000016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85"/>
  <sheetViews>
    <sheetView workbookViewId="0"/>
  </sheetViews>
  <sheetFormatPr defaultColWidth="12.6640625" defaultRowHeight="15" customHeight="1" x14ac:dyDescent="0.2"/>
  <cols>
    <col min="1" max="1" width="12.88671875" customWidth="1"/>
    <col min="2" max="2" width="14.44140625" customWidth="1"/>
    <col min="3" max="15" width="8.6640625" customWidth="1"/>
  </cols>
  <sheetData>
    <row r="3" spans="1:3" ht="15" customHeight="1" x14ac:dyDescent="0.2">
      <c r="A3" s="15" t="s">
        <v>110</v>
      </c>
      <c r="B3" s="16" t="s">
        <v>1</v>
      </c>
      <c r="C3" s="17" t="s">
        <v>130</v>
      </c>
    </row>
    <row r="4" spans="1:3" ht="15" customHeight="1" x14ac:dyDescent="0.2">
      <c r="A4" s="18" t="s">
        <v>15</v>
      </c>
      <c r="B4" s="18" t="s">
        <v>28</v>
      </c>
      <c r="C4" s="19">
        <v>0</v>
      </c>
    </row>
    <row r="5" spans="1:3" ht="15" customHeight="1" x14ac:dyDescent="0.2">
      <c r="A5" s="20"/>
      <c r="B5" s="21" t="s">
        <v>16</v>
      </c>
      <c r="C5" s="22">
        <v>1.3</v>
      </c>
    </row>
    <row r="6" spans="1:3" ht="15" customHeight="1" x14ac:dyDescent="0.2">
      <c r="A6" s="20"/>
      <c r="B6" s="21" t="s">
        <v>18</v>
      </c>
      <c r="C6" s="22">
        <v>2.8</v>
      </c>
    </row>
    <row r="7" spans="1:3" ht="15" customHeight="1" x14ac:dyDescent="0.2">
      <c r="A7" s="20"/>
      <c r="B7" s="21" t="s">
        <v>27</v>
      </c>
      <c r="C7" s="22">
        <v>0</v>
      </c>
    </row>
    <row r="8" spans="1:3" ht="15" customHeight="1" x14ac:dyDescent="0.2">
      <c r="A8" s="20"/>
      <c r="B8" s="21" t="s">
        <v>26</v>
      </c>
      <c r="C8" s="22">
        <v>0</v>
      </c>
    </row>
    <row r="9" spans="1:3" ht="15" customHeight="1" x14ac:dyDescent="0.2">
      <c r="A9" s="20"/>
      <c r="B9" s="21" t="s">
        <v>17</v>
      </c>
      <c r="C9" s="22">
        <v>2.2999999999999998</v>
      </c>
    </row>
    <row r="10" spans="1:3" ht="15" customHeight="1" x14ac:dyDescent="0.2">
      <c r="A10" s="20"/>
      <c r="B10" s="21" t="s">
        <v>25</v>
      </c>
      <c r="C10" s="22">
        <v>38.6</v>
      </c>
    </row>
    <row r="11" spans="1:3" ht="15" customHeight="1" x14ac:dyDescent="0.2">
      <c r="A11" s="20"/>
      <c r="B11" s="21" t="s">
        <v>19</v>
      </c>
      <c r="C11" s="22">
        <v>4.1999999999999993</v>
      </c>
    </row>
    <row r="12" spans="1:3" ht="15" customHeight="1" x14ac:dyDescent="0.2">
      <c r="A12" s="20"/>
      <c r="B12" s="21" t="s">
        <v>23</v>
      </c>
      <c r="C12" s="22">
        <v>17.399999999999999</v>
      </c>
    </row>
    <row r="13" spans="1:3" ht="15" customHeight="1" x14ac:dyDescent="0.2">
      <c r="A13" s="20"/>
      <c r="B13" s="21" t="s">
        <v>24</v>
      </c>
      <c r="C13" s="22">
        <v>23.8</v>
      </c>
    </row>
    <row r="14" spans="1:3" ht="15" customHeight="1" x14ac:dyDescent="0.2">
      <c r="A14" s="20"/>
      <c r="B14" s="21" t="s">
        <v>22</v>
      </c>
      <c r="C14" s="22">
        <v>9.6</v>
      </c>
    </row>
    <row r="15" spans="1:3" ht="15" customHeight="1" x14ac:dyDescent="0.2">
      <c r="A15" s="20"/>
      <c r="B15" s="21" t="s">
        <v>20</v>
      </c>
      <c r="C15" s="22">
        <v>8.6999999999999993</v>
      </c>
    </row>
    <row r="16" spans="1:3" ht="15" customHeight="1" x14ac:dyDescent="0.2">
      <c r="A16" s="18" t="s">
        <v>119</v>
      </c>
      <c r="B16" s="23"/>
      <c r="C16" s="19">
        <v>108.69999999999999</v>
      </c>
    </row>
    <row r="17" spans="1:3" ht="15" customHeight="1" x14ac:dyDescent="0.2">
      <c r="A17" s="18" t="s">
        <v>29</v>
      </c>
      <c r="B17" s="18" t="s">
        <v>31</v>
      </c>
      <c r="C17" s="19">
        <v>4.2</v>
      </c>
    </row>
    <row r="18" spans="1:3" ht="15" customHeight="1" x14ac:dyDescent="0.2">
      <c r="A18" s="20"/>
      <c r="B18" s="21" t="s">
        <v>32</v>
      </c>
      <c r="C18" s="22">
        <v>6.1</v>
      </c>
    </row>
    <row r="19" spans="1:3" ht="15" customHeight="1" x14ac:dyDescent="0.2">
      <c r="A19" s="20"/>
      <c r="B19" s="21" t="s">
        <v>33</v>
      </c>
      <c r="C19" s="22">
        <v>20.9</v>
      </c>
    </row>
    <row r="20" spans="1:3" ht="15" customHeight="1" x14ac:dyDescent="0.2">
      <c r="A20" s="20"/>
      <c r="B20" s="21" t="s">
        <v>30</v>
      </c>
      <c r="C20" s="22">
        <v>4.0999999999999996</v>
      </c>
    </row>
    <row r="21" spans="1:3" ht="15" customHeight="1" x14ac:dyDescent="0.2">
      <c r="A21" s="18" t="s">
        <v>120</v>
      </c>
      <c r="B21" s="23"/>
      <c r="C21" s="19">
        <v>35.299999999999997</v>
      </c>
    </row>
    <row r="22" spans="1:3" ht="15" customHeight="1" x14ac:dyDescent="0.2">
      <c r="A22" s="18" t="s">
        <v>34</v>
      </c>
      <c r="B22" s="18" t="s">
        <v>36</v>
      </c>
      <c r="C22" s="19">
        <v>1.2</v>
      </c>
    </row>
    <row r="23" spans="1:3" ht="15" customHeight="1" x14ac:dyDescent="0.2">
      <c r="A23" s="20"/>
      <c r="B23" s="21" t="s">
        <v>38</v>
      </c>
      <c r="C23" s="22">
        <v>6.8</v>
      </c>
    </row>
    <row r="24" spans="1:3" ht="15" customHeight="1" x14ac:dyDescent="0.2">
      <c r="A24" s="20"/>
      <c r="B24" s="21" t="s">
        <v>35</v>
      </c>
      <c r="C24" s="22">
        <v>0.7</v>
      </c>
    </row>
    <row r="25" spans="1:3" ht="15" customHeight="1" x14ac:dyDescent="0.2">
      <c r="A25" s="20"/>
      <c r="B25" s="21" t="s">
        <v>37</v>
      </c>
      <c r="C25" s="22">
        <v>2.9</v>
      </c>
    </row>
    <row r="26" spans="1:3" ht="15" customHeight="1" x14ac:dyDescent="0.2">
      <c r="A26" s="18" t="s">
        <v>121</v>
      </c>
      <c r="B26" s="23"/>
      <c r="C26" s="19">
        <v>11.6</v>
      </c>
    </row>
    <row r="27" spans="1:3" ht="15" customHeight="1" x14ac:dyDescent="0.2">
      <c r="A27" s="18" t="s">
        <v>39</v>
      </c>
      <c r="B27" s="18" t="s">
        <v>47</v>
      </c>
      <c r="C27" s="19">
        <v>0</v>
      </c>
    </row>
    <row r="28" spans="1:3" ht="15" customHeight="1" x14ac:dyDescent="0.2">
      <c r="A28" s="20"/>
      <c r="B28" s="21" t="s">
        <v>41</v>
      </c>
      <c r="C28" s="22">
        <v>0.9</v>
      </c>
    </row>
    <row r="29" spans="1:3" ht="15" customHeight="1" x14ac:dyDescent="0.2">
      <c r="A29" s="20"/>
      <c r="B29" s="21" t="s">
        <v>44</v>
      </c>
      <c r="C29" s="22">
        <v>3.7</v>
      </c>
    </row>
    <row r="30" spans="1:3" ht="15" customHeight="1" x14ac:dyDescent="0.2">
      <c r="A30" s="20"/>
      <c r="B30" s="21" t="s">
        <v>46</v>
      </c>
      <c r="C30" s="22">
        <v>0</v>
      </c>
    </row>
    <row r="31" spans="1:3" ht="15" customHeight="1" x14ac:dyDescent="0.2">
      <c r="A31" s="20"/>
      <c r="B31" s="21" t="s">
        <v>40</v>
      </c>
      <c r="C31" s="22">
        <v>0.4</v>
      </c>
    </row>
    <row r="32" spans="1:3" ht="15" customHeight="1" x14ac:dyDescent="0.2">
      <c r="A32" s="20"/>
      <c r="B32" s="21" t="s">
        <v>42</v>
      </c>
      <c r="C32" s="22">
        <v>1.7</v>
      </c>
    </row>
    <row r="33" spans="1:3" ht="15" customHeight="1" x14ac:dyDescent="0.2">
      <c r="A33" s="20"/>
      <c r="B33" s="21" t="s">
        <v>43</v>
      </c>
      <c r="C33" s="22">
        <v>1.8</v>
      </c>
    </row>
    <row r="34" spans="1:3" ht="15" customHeight="1" x14ac:dyDescent="0.2">
      <c r="A34" s="20"/>
      <c r="B34" s="21" t="s">
        <v>45</v>
      </c>
      <c r="C34" s="22">
        <v>5</v>
      </c>
    </row>
    <row r="35" spans="1:3" ht="15" customHeight="1" x14ac:dyDescent="0.2">
      <c r="A35" s="18" t="s">
        <v>122</v>
      </c>
      <c r="B35" s="23"/>
      <c r="C35" s="19">
        <v>13.500000000000002</v>
      </c>
    </row>
    <row r="36" spans="1:3" ht="15" customHeight="1" x14ac:dyDescent="0.2">
      <c r="A36" s="18" t="s">
        <v>48</v>
      </c>
      <c r="B36" s="18" t="s">
        <v>53</v>
      </c>
      <c r="C36" s="19">
        <v>10</v>
      </c>
    </row>
    <row r="37" spans="1:3" ht="15" customHeight="1" x14ac:dyDescent="0.2">
      <c r="A37" s="20"/>
      <c r="B37" s="21" t="s">
        <v>49</v>
      </c>
      <c r="C37" s="22">
        <v>1.1000000000000001</v>
      </c>
    </row>
    <row r="38" spans="1:3" ht="15" customHeight="1" x14ac:dyDescent="0.2">
      <c r="A38" s="20"/>
      <c r="B38" s="21" t="s">
        <v>51</v>
      </c>
      <c r="C38" s="22">
        <v>5.6</v>
      </c>
    </row>
    <row r="39" spans="1:3" ht="15" customHeight="1" x14ac:dyDescent="0.2">
      <c r="A39" s="20"/>
      <c r="B39" s="21" t="s">
        <v>54</v>
      </c>
      <c r="C39" s="22">
        <v>15.7</v>
      </c>
    </row>
    <row r="40" spans="1:3" x14ac:dyDescent="0.2">
      <c r="A40" s="20"/>
      <c r="B40" s="21" t="s">
        <v>56</v>
      </c>
      <c r="C40" s="22">
        <v>0</v>
      </c>
    </row>
    <row r="41" spans="1:3" x14ac:dyDescent="0.2">
      <c r="A41" s="20"/>
      <c r="B41" s="21" t="s">
        <v>52</v>
      </c>
      <c r="C41" s="22">
        <v>7</v>
      </c>
    </row>
    <row r="42" spans="1:3" x14ac:dyDescent="0.2">
      <c r="A42" s="20"/>
      <c r="B42" s="21" t="s">
        <v>50</v>
      </c>
      <c r="C42" s="22">
        <v>2.6</v>
      </c>
    </row>
    <row r="43" spans="1:3" x14ac:dyDescent="0.2">
      <c r="A43" s="20"/>
      <c r="B43" s="21" t="s">
        <v>55</v>
      </c>
      <c r="C43" s="22">
        <v>0</v>
      </c>
    </row>
    <row r="44" spans="1:3" x14ac:dyDescent="0.2">
      <c r="A44" s="18" t="s">
        <v>123</v>
      </c>
      <c r="B44" s="23"/>
      <c r="C44" s="19">
        <v>42</v>
      </c>
    </row>
    <row r="45" spans="1:3" x14ac:dyDescent="0.2">
      <c r="A45" s="18" t="s">
        <v>57</v>
      </c>
      <c r="B45" s="18" t="s">
        <v>60</v>
      </c>
      <c r="C45" s="19">
        <v>0</v>
      </c>
    </row>
    <row r="46" spans="1:3" x14ac:dyDescent="0.2">
      <c r="A46" s="20"/>
      <c r="B46" s="21" t="s">
        <v>58</v>
      </c>
      <c r="C46" s="22">
        <v>0</v>
      </c>
    </row>
    <row r="47" spans="1:3" x14ac:dyDescent="0.2">
      <c r="A47" s="20"/>
      <c r="B47" s="21" t="s">
        <v>59</v>
      </c>
      <c r="C47" s="22">
        <v>0</v>
      </c>
    </row>
    <row r="48" spans="1:3" x14ac:dyDescent="0.2">
      <c r="A48" s="18" t="s">
        <v>124</v>
      </c>
      <c r="B48" s="23"/>
      <c r="C48" s="19">
        <v>0</v>
      </c>
    </row>
    <row r="49" spans="1:3" x14ac:dyDescent="0.2">
      <c r="A49" s="18" t="s">
        <v>61</v>
      </c>
      <c r="B49" s="18" t="s">
        <v>64</v>
      </c>
      <c r="C49" s="19">
        <v>4.3</v>
      </c>
    </row>
    <row r="50" spans="1:3" x14ac:dyDescent="0.2">
      <c r="A50" s="20"/>
      <c r="B50" s="21" t="s">
        <v>63</v>
      </c>
      <c r="C50" s="22">
        <v>3.2</v>
      </c>
    </row>
    <row r="51" spans="1:3" x14ac:dyDescent="0.2">
      <c r="A51" s="20"/>
      <c r="B51" s="21" t="s">
        <v>65</v>
      </c>
      <c r="C51" s="22">
        <v>6.6</v>
      </c>
    </row>
    <row r="52" spans="1:3" x14ac:dyDescent="0.2">
      <c r="A52" s="20"/>
      <c r="B52" s="21" t="s">
        <v>62</v>
      </c>
      <c r="C52" s="22">
        <v>0.6</v>
      </c>
    </row>
    <row r="53" spans="1:3" x14ac:dyDescent="0.2">
      <c r="A53" s="20"/>
      <c r="B53" s="21" t="s">
        <v>66</v>
      </c>
      <c r="C53" s="22">
        <v>0</v>
      </c>
    </row>
    <row r="54" spans="1:3" x14ac:dyDescent="0.2">
      <c r="A54" s="18" t="s">
        <v>125</v>
      </c>
      <c r="B54" s="23"/>
      <c r="C54" s="19">
        <v>14.7</v>
      </c>
    </row>
    <row r="55" spans="1:3" x14ac:dyDescent="0.2">
      <c r="A55" s="18" t="s">
        <v>67</v>
      </c>
      <c r="B55" s="18" t="s">
        <v>70</v>
      </c>
      <c r="C55" s="19">
        <v>0</v>
      </c>
    </row>
    <row r="56" spans="1:3" x14ac:dyDescent="0.2">
      <c r="A56" s="20"/>
      <c r="B56" s="21" t="s">
        <v>68</v>
      </c>
      <c r="C56" s="22">
        <v>0.8</v>
      </c>
    </row>
    <row r="57" spans="1:3" x14ac:dyDescent="0.2">
      <c r="A57" s="20"/>
      <c r="B57" s="21" t="s">
        <v>69</v>
      </c>
      <c r="C57" s="22">
        <v>2.4</v>
      </c>
    </row>
    <row r="58" spans="1:3" x14ac:dyDescent="0.2">
      <c r="A58" s="18" t="s">
        <v>126</v>
      </c>
      <c r="B58" s="23"/>
      <c r="C58" s="19">
        <v>3.2</v>
      </c>
    </row>
    <row r="59" spans="1:3" x14ac:dyDescent="0.2">
      <c r="A59" s="18" t="s">
        <v>71</v>
      </c>
      <c r="B59" s="18" t="s">
        <v>75</v>
      </c>
      <c r="C59" s="19">
        <v>4.8</v>
      </c>
    </row>
    <row r="60" spans="1:3" x14ac:dyDescent="0.2">
      <c r="A60" s="20"/>
      <c r="B60" s="21" t="s">
        <v>81</v>
      </c>
      <c r="C60" s="22">
        <v>0</v>
      </c>
    </row>
    <row r="61" spans="1:3" x14ac:dyDescent="0.2">
      <c r="A61" s="20"/>
      <c r="B61" s="21" t="s">
        <v>80</v>
      </c>
      <c r="C61" s="22">
        <v>0</v>
      </c>
    </row>
    <row r="62" spans="1:3" x14ac:dyDescent="0.2">
      <c r="A62" s="20"/>
      <c r="B62" s="21" t="s">
        <v>72</v>
      </c>
      <c r="C62" s="22">
        <v>1</v>
      </c>
    </row>
    <row r="63" spans="1:3" x14ac:dyDescent="0.2">
      <c r="A63" s="20"/>
      <c r="B63" s="21" t="s">
        <v>79</v>
      </c>
      <c r="C63" s="22">
        <v>0</v>
      </c>
    </row>
    <row r="64" spans="1:3" x14ac:dyDescent="0.2">
      <c r="A64" s="20"/>
      <c r="B64" s="21" t="s">
        <v>74</v>
      </c>
      <c r="C64" s="22">
        <v>4.2</v>
      </c>
    </row>
    <row r="65" spans="1:3" x14ac:dyDescent="0.2">
      <c r="A65" s="20"/>
      <c r="B65" s="21" t="s">
        <v>77</v>
      </c>
      <c r="C65" s="22">
        <v>24</v>
      </c>
    </row>
    <row r="66" spans="1:3" x14ac:dyDescent="0.2">
      <c r="A66" s="20"/>
      <c r="B66" s="21" t="s">
        <v>78</v>
      </c>
      <c r="C66" s="22">
        <v>0</v>
      </c>
    </row>
    <row r="67" spans="1:3" x14ac:dyDescent="0.2">
      <c r="A67" s="20"/>
      <c r="B67" s="21" t="s">
        <v>73</v>
      </c>
      <c r="C67" s="22">
        <v>1.5999999999999999</v>
      </c>
    </row>
    <row r="68" spans="1:3" x14ac:dyDescent="0.2">
      <c r="A68" s="20"/>
      <c r="B68" s="21" t="s">
        <v>76</v>
      </c>
      <c r="C68" s="22">
        <v>6</v>
      </c>
    </row>
    <row r="69" spans="1:3" x14ac:dyDescent="0.2">
      <c r="A69" s="18" t="s">
        <v>127</v>
      </c>
      <c r="B69" s="23"/>
      <c r="C69" s="19">
        <v>41.6</v>
      </c>
    </row>
    <row r="70" spans="1:3" x14ac:dyDescent="0.2">
      <c r="A70" s="18" t="s">
        <v>82</v>
      </c>
      <c r="B70" s="18" t="s">
        <v>84</v>
      </c>
      <c r="C70" s="19">
        <v>0.79999999999999993</v>
      </c>
    </row>
    <row r="71" spans="1:3" x14ac:dyDescent="0.2">
      <c r="A71" s="20"/>
      <c r="B71" s="21" t="s">
        <v>88</v>
      </c>
      <c r="C71" s="22">
        <v>3.2</v>
      </c>
    </row>
    <row r="72" spans="1:3" x14ac:dyDescent="0.2">
      <c r="A72" s="20"/>
      <c r="B72" s="21" t="s">
        <v>83</v>
      </c>
      <c r="C72" s="22">
        <v>0</v>
      </c>
    </row>
    <row r="73" spans="1:3" x14ac:dyDescent="0.2">
      <c r="A73" s="20"/>
      <c r="B73" s="21" t="s">
        <v>94</v>
      </c>
      <c r="C73" s="22">
        <v>0</v>
      </c>
    </row>
    <row r="74" spans="1:3" x14ac:dyDescent="0.2">
      <c r="A74" s="20"/>
      <c r="B74" s="21" t="s">
        <v>85</v>
      </c>
      <c r="C74" s="22">
        <v>1</v>
      </c>
    </row>
    <row r="75" spans="1:3" x14ac:dyDescent="0.2">
      <c r="A75" s="20"/>
      <c r="B75" s="21" t="s">
        <v>86</v>
      </c>
      <c r="C75" s="22">
        <v>1.1000000000000001</v>
      </c>
    </row>
    <row r="76" spans="1:3" x14ac:dyDescent="0.2">
      <c r="A76" s="20"/>
      <c r="B76" s="21" t="s">
        <v>90</v>
      </c>
      <c r="C76" s="22">
        <v>4.8</v>
      </c>
    </row>
    <row r="77" spans="1:3" x14ac:dyDescent="0.2">
      <c r="A77" s="20"/>
      <c r="B77" s="21" t="s">
        <v>89</v>
      </c>
      <c r="C77" s="22">
        <v>4</v>
      </c>
    </row>
    <row r="78" spans="1:3" x14ac:dyDescent="0.2">
      <c r="A78" s="20"/>
      <c r="B78" s="21" t="s">
        <v>87</v>
      </c>
      <c r="C78" s="22">
        <v>1.2000000000000002</v>
      </c>
    </row>
    <row r="79" spans="1:3" x14ac:dyDescent="0.2">
      <c r="A79" s="20"/>
      <c r="B79" s="21" t="s">
        <v>93</v>
      </c>
      <c r="C79" s="22">
        <v>0</v>
      </c>
    </row>
    <row r="80" spans="1:3" x14ac:dyDescent="0.2">
      <c r="A80" s="20"/>
      <c r="B80" s="21" t="s">
        <v>92</v>
      </c>
      <c r="C80" s="22">
        <v>18.2</v>
      </c>
    </row>
    <row r="81" spans="1:3" x14ac:dyDescent="0.2">
      <c r="A81" s="20"/>
      <c r="B81" s="21" t="s">
        <v>91</v>
      </c>
      <c r="C81" s="22">
        <v>6.1999999999999993</v>
      </c>
    </row>
    <row r="82" spans="1:3" x14ac:dyDescent="0.2">
      <c r="A82" s="18" t="s">
        <v>128</v>
      </c>
      <c r="B82" s="23"/>
      <c r="C82" s="19">
        <v>40.5</v>
      </c>
    </row>
    <row r="83" spans="1:3" x14ac:dyDescent="0.2">
      <c r="A83" s="18" t="s">
        <v>95</v>
      </c>
      <c r="B83" s="18" t="s">
        <v>96</v>
      </c>
      <c r="C83" s="19">
        <v>8.8000000000000007</v>
      </c>
    </row>
    <row r="84" spans="1:3" x14ac:dyDescent="0.2">
      <c r="A84" s="18" t="s">
        <v>129</v>
      </c>
      <c r="B84" s="23"/>
      <c r="C84" s="19">
        <v>8.8000000000000007</v>
      </c>
    </row>
    <row r="85" spans="1:3" x14ac:dyDescent="0.2">
      <c r="A85" s="24" t="s">
        <v>118</v>
      </c>
      <c r="B85" s="25"/>
      <c r="C85" s="26">
        <v>319.89999999999998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By Item</vt:lpstr>
      <vt:lpstr>By Category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Wurtz</dc:creator>
  <cp:lastModifiedBy>1365935510N</cp:lastModifiedBy>
  <dcterms:created xsi:type="dcterms:W3CDTF">2017-10-12T01:42:54Z</dcterms:created>
  <dcterms:modified xsi:type="dcterms:W3CDTF">2017-10-16T15:05:13Z</dcterms:modified>
</cp:coreProperties>
</file>